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ales Data" sheetId="2" state="visible" r:id="rId4"/>
    <sheet name="Analysis" sheetId="3" state="visible" r:id="rId5"/>
  </sheets>
  <definedNames>
    <definedName function="false" hidden="true" localSheetId="1" name="_xlnm._FilterDatabase" vbProcedure="false">'Sales Data'!$A$1:$K$169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<sst xmlns="http://schemas.openxmlformats.org/spreadsheetml/2006/main" count="1077" uniqueCount="283">
  <si>
    <t xml:space="preserve">Retail Sales Data Analysis</t>
  </si>
  <si>
    <t xml:space="preserve">Prepared by Shreya Nag</t>
  </si>
  <si>
    <t xml:space="preserve">About this project</t>
  </si>
  <si>
    <t xml:space="preserve">This project analyzes a retail sales dataset of 2024 orders to find which products and regions perform best and how sales change through the year. The goal was to turn raw transaction data into clear business insights.</t>
  </si>
  <si>
    <t xml:space="preserve">What I did</t>
  </si>
  <si>
    <t xml:space="preserve">1. Collected a transactional sales dataset (orders, customers, regions, categories, sales and profit).</t>
  </si>
  <si>
    <t xml:space="preserve">2. Cleaned and prepared the data: checked for duplicate orders, blank values, and made sure dates, sales and profit were in the correct numeric/date formats.</t>
  </si>
  <si>
    <t xml:space="preserve">3. Built summary tables using SUMIF and AVERAGEIF formulas to total sales and profit by category, by region, and by month.</t>
  </si>
  <si>
    <t xml:space="preserve">4. Created charts (bar and line) to visualize the findings, the way a simple dashboard would.</t>
  </si>
  <si>
    <t xml:space="preserve">5. Wrote up the key findings below.</t>
  </si>
  <si>
    <t xml:space="preserve">Key findings</t>
  </si>
  <si>
    <t xml:space="preserve">- Furniture generated the highest total sales, while Office Supplies had the strongest profit margin because it carries smaller discounts.</t>
  </si>
  <si>
    <t xml:space="preserve">- Profit varied clearly by region: the East region was the most profitable, while the North lagged behind - useful for deciding where to focus.</t>
  </si>
  <si>
    <t xml:space="preserve">- Sales were seasonal: they were lowest early in the year and peaked in November and December, pointing to a strong festive/end-of-year period.</t>
  </si>
  <si>
    <t xml:space="preserve">- Heavy discounts reduced profit sharply on some orders, showing that high discounting can hurt overall profitability.</t>
  </si>
  <si>
    <t xml:space="preserve">Tools used</t>
  </si>
  <si>
    <t xml:space="preserve">Microsoft Excel / Google Sheets - data cleaning, SUMIF/AVERAGEIF formulas, pivot-style summary tables, and charts.</t>
  </si>
  <si>
    <t xml:space="preserve">How to read this file</t>
  </si>
  <si>
    <t xml:space="preserve">- 'Sales Data' tab: the full cleaned dataset.</t>
  </si>
  <si>
    <t xml:space="preserve">- 'Analysis' tab: the summary tables and charts (all driven by live formulas, so they update if the data changes).</t>
  </si>
  <si>
    <t xml:space="preserve">- 'Summary' tab (this page): the project overview and findings.</t>
  </si>
  <si>
    <t xml:space="preserve">Order ID</t>
  </si>
  <si>
    <t xml:space="preserve">Order Date</t>
  </si>
  <si>
    <t xml:space="preserve">Customer</t>
  </si>
  <si>
    <t xml:space="preserve">Segment</t>
  </si>
  <si>
    <t xml:space="preserve">Region</t>
  </si>
  <si>
    <t xml:space="preserve">Category</t>
  </si>
  <si>
    <t xml:space="preserve">Product</t>
  </si>
  <si>
    <t xml:space="preserve">Quantity</t>
  </si>
  <si>
    <t xml:space="preserve">Discount</t>
  </si>
  <si>
    <t xml:space="preserve">Sales</t>
  </si>
  <si>
    <t xml:space="preserve">Profit</t>
  </si>
  <si>
    <t xml:space="preserve">Month</t>
  </si>
  <si>
    <t xml:space="preserve">ORD-1066</t>
  </si>
  <si>
    <t xml:space="preserve">Arjun Reddy</t>
  </si>
  <si>
    <t xml:space="preserve">Corporate</t>
  </si>
  <si>
    <t xml:space="preserve">East</t>
  </si>
  <si>
    <t xml:space="preserve">Furniture</t>
  </si>
  <si>
    <t xml:space="preserve">Bookcase</t>
  </si>
  <si>
    <t xml:space="preserve">ORD-1096</t>
  </si>
  <si>
    <t xml:space="preserve">Myra Reddy</t>
  </si>
  <si>
    <t xml:space="preserve">Consumer</t>
  </si>
  <si>
    <t xml:space="preserve">South</t>
  </si>
  <si>
    <t xml:space="preserve">Technology</t>
  </si>
  <si>
    <t xml:space="preserve">Smartphone</t>
  </si>
  <si>
    <t xml:space="preserve">ORD-1133</t>
  </si>
  <si>
    <t xml:space="preserve">Myra Verma</t>
  </si>
  <si>
    <t xml:space="preserve">Office Supplies</t>
  </si>
  <si>
    <t xml:space="preserve">Pens (Pack)</t>
  </si>
  <si>
    <t xml:space="preserve">ORD-1070</t>
  </si>
  <si>
    <t xml:space="preserve">Sara Verma</t>
  </si>
  <si>
    <t xml:space="preserve">Headphones</t>
  </si>
  <si>
    <t xml:space="preserve">ORD-1120</t>
  </si>
  <si>
    <t xml:space="preserve">Aditya Patel</t>
  </si>
  <si>
    <t xml:space="preserve">West</t>
  </si>
  <si>
    <t xml:space="preserve">Office Chair</t>
  </si>
  <si>
    <t xml:space="preserve">ORD-1142</t>
  </si>
  <si>
    <t xml:space="preserve">Dev Patel</t>
  </si>
  <si>
    <t xml:space="preserve">North</t>
  </si>
  <si>
    <t xml:space="preserve">Laptop</t>
  </si>
  <si>
    <t xml:space="preserve">ORD-1042</t>
  </si>
  <si>
    <t xml:space="preserve">Navya Iyer</t>
  </si>
  <si>
    <t xml:space="preserve">ORD-1021</t>
  </si>
  <si>
    <t xml:space="preserve">Desk</t>
  </si>
  <si>
    <t xml:space="preserve">ORD-1100</t>
  </si>
  <si>
    <t xml:space="preserve">Myra Sharma</t>
  </si>
  <si>
    <t xml:space="preserve">Monitor</t>
  </si>
  <si>
    <t xml:space="preserve">ORD-1159</t>
  </si>
  <si>
    <t xml:space="preserve">Aarav Verma</t>
  </si>
  <si>
    <t xml:space="preserve">Binder</t>
  </si>
  <si>
    <t xml:space="preserve">ORD-1093</t>
  </si>
  <si>
    <t xml:space="preserve">Riya Das</t>
  </si>
  <si>
    <t xml:space="preserve">Sofa</t>
  </si>
  <si>
    <t xml:space="preserve">ORD-1098</t>
  </si>
  <si>
    <t xml:space="preserve">Diya Reddy</t>
  </si>
  <si>
    <t xml:space="preserve">Home Office</t>
  </si>
  <si>
    <t xml:space="preserve">ORD-1011</t>
  </si>
  <si>
    <t xml:space="preserve">Reyansh Verma</t>
  </si>
  <si>
    <t xml:space="preserve">ORD-1087</t>
  </si>
  <si>
    <t xml:space="preserve">Kiara Nair</t>
  </si>
  <si>
    <t xml:space="preserve">ORD-1020</t>
  </si>
  <si>
    <t xml:space="preserve">ORD-1132</t>
  </si>
  <si>
    <t xml:space="preserve">Anika Verma</t>
  </si>
  <si>
    <t xml:space="preserve">ORD-1128</t>
  </si>
  <si>
    <t xml:space="preserve">ORD-1060</t>
  </si>
  <si>
    <t xml:space="preserve">ORD-1078</t>
  </si>
  <si>
    <t xml:space="preserve">ORD-1052</t>
  </si>
  <si>
    <t xml:space="preserve">Ananya Sharma</t>
  </si>
  <si>
    <t xml:space="preserve">ORD-1124</t>
  </si>
  <si>
    <t xml:space="preserve">Stapler</t>
  </si>
  <si>
    <t xml:space="preserve">ORD-1026</t>
  </si>
  <si>
    <t xml:space="preserve">ORD-1008</t>
  </si>
  <si>
    <t xml:space="preserve">ORD-1064</t>
  </si>
  <si>
    <t xml:space="preserve">Keyboard</t>
  </si>
  <si>
    <t xml:space="preserve">ORD-1137</t>
  </si>
  <si>
    <t xml:space="preserve">Ananya Roy</t>
  </si>
  <si>
    <t xml:space="preserve">ORD-1092</t>
  </si>
  <si>
    <t xml:space="preserve">Riya Singh</t>
  </si>
  <si>
    <t xml:space="preserve">Printer Paper</t>
  </si>
  <si>
    <t xml:space="preserve">ORD-1040</t>
  </si>
  <si>
    <t xml:space="preserve">ORD-1135</t>
  </si>
  <si>
    <t xml:space="preserve">Vihaan Sharma</t>
  </si>
  <si>
    <t xml:space="preserve">ORD-1151</t>
  </si>
  <si>
    <t xml:space="preserve">ORD-1084</t>
  </si>
  <si>
    <t xml:space="preserve">ORD-1106</t>
  </si>
  <si>
    <t xml:space="preserve">Kabir Iyer</t>
  </si>
  <si>
    <t xml:space="preserve">ORD-1004</t>
  </si>
  <si>
    <t xml:space="preserve">Kabir Singh</t>
  </si>
  <si>
    <t xml:space="preserve">ORD-1072</t>
  </si>
  <si>
    <t xml:space="preserve">ORD-1160</t>
  </si>
  <si>
    <t xml:space="preserve">Kabir Roy</t>
  </si>
  <si>
    <t xml:space="preserve">Table Lamp</t>
  </si>
  <si>
    <t xml:space="preserve">ORD-1056</t>
  </si>
  <si>
    <t xml:space="preserve">Ishaan Gupta</t>
  </si>
  <si>
    <t xml:space="preserve">ORD-1163</t>
  </si>
  <si>
    <t xml:space="preserve">Arjun Iyer</t>
  </si>
  <si>
    <t xml:space="preserve">ORD-1149</t>
  </si>
  <si>
    <t xml:space="preserve">ORD-1158</t>
  </si>
  <si>
    <t xml:space="preserve">Krishna Reddy</t>
  </si>
  <si>
    <t xml:space="preserve">ORD-1030</t>
  </si>
  <si>
    <t xml:space="preserve">ORD-1035</t>
  </si>
  <si>
    <t xml:space="preserve">Aarav Singh</t>
  </si>
  <si>
    <t xml:space="preserve">ORD-1022</t>
  </si>
  <si>
    <t xml:space="preserve">ORD-1122</t>
  </si>
  <si>
    <t xml:space="preserve">ORD-1123</t>
  </si>
  <si>
    <t xml:space="preserve">ORD-1147</t>
  </si>
  <si>
    <t xml:space="preserve">ORD-1018</t>
  </si>
  <si>
    <t xml:space="preserve">ORD-1134</t>
  </si>
  <si>
    <t xml:space="preserve">Notebook</t>
  </si>
  <si>
    <t xml:space="preserve">ORD-1068</t>
  </si>
  <si>
    <t xml:space="preserve">ORD-1154</t>
  </si>
  <si>
    <t xml:space="preserve">Aditya Verma</t>
  </si>
  <si>
    <t xml:space="preserve">ORD-1023</t>
  </si>
  <si>
    <t xml:space="preserve">ORD-1017</t>
  </si>
  <si>
    <t xml:space="preserve">Vivaan Reddy</t>
  </si>
  <si>
    <t xml:space="preserve">ORD-1025</t>
  </si>
  <si>
    <t xml:space="preserve">ORD-1082</t>
  </si>
  <si>
    <t xml:space="preserve">Anika Nair</t>
  </si>
  <si>
    <t xml:space="preserve">ORD-1111</t>
  </si>
  <si>
    <t xml:space="preserve">ORD-1148</t>
  </si>
  <si>
    <t xml:space="preserve">ORD-1144</t>
  </si>
  <si>
    <t xml:space="preserve">ORD-1051</t>
  </si>
  <si>
    <t xml:space="preserve">ORD-1107</t>
  </si>
  <si>
    <t xml:space="preserve">Ananya Das</t>
  </si>
  <si>
    <t xml:space="preserve">ORD-1069</t>
  </si>
  <si>
    <t xml:space="preserve">ORD-1157</t>
  </si>
  <si>
    <t xml:space="preserve">ORD-1145</t>
  </si>
  <si>
    <t xml:space="preserve">ORD-1153</t>
  </si>
  <si>
    <t xml:space="preserve">ORD-1109</t>
  </si>
  <si>
    <t xml:space="preserve">ORD-1156</t>
  </si>
  <si>
    <t xml:space="preserve">ORD-1045</t>
  </si>
  <si>
    <t xml:space="preserve">ORD-1108</t>
  </si>
  <si>
    <t xml:space="preserve">Ananya Singh</t>
  </si>
  <si>
    <t xml:space="preserve">ORD-1085</t>
  </si>
  <si>
    <t xml:space="preserve">ORD-1015</t>
  </si>
  <si>
    <t xml:space="preserve">ORD-1097</t>
  </si>
  <si>
    <t xml:space="preserve">ORD-1067</t>
  </si>
  <si>
    <t xml:space="preserve">ORD-1088</t>
  </si>
  <si>
    <t xml:space="preserve">ORD-1165</t>
  </si>
  <si>
    <t xml:space="preserve">ORD-1039</t>
  </si>
  <si>
    <t xml:space="preserve">ORD-1150</t>
  </si>
  <si>
    <t xml:space="preserve">ORD-1054</t>
  </si>
  <si>
    <t xml:space="preserve">ORD-1009</t>
  </si>
  <si>
    <t xml:space="preserve">ORD-1119</t>
  </si>
  <si>
    <t xml:space="preserve">ORD-1038</t>
  </si>
  <si>
    <t xml:space="preserve">ORD-1139</t>
  </si>
  <si>
    <t xml:space="preserve">Sara Singh</t>
  </si>
  <si>
    <t xml:space="preserve">ORD-1116</t>
  </si>
  <si>
    <t xml:space="preserve">ORD-1049</t>
  </si>
  <si>
    <t xml:space="preserve">ORD-1090</t>
  </si>
  <si>
    <t xml:space="preserve">ORD-1073</t>
  </si>
  <si>
    <t xml:space="preserve">ORD-1024</t>
  </si>
  <si>
    <t xml:space="preserve">Riya Iyer</t>
  </si>
  <si>
    <t xml:space="preserve">ORD-1138</t>
  </si>
  <si>
    <t xml:space="preserve">ORD-1162</t>
  </si>
  <si>
    <t xml:space="preserve">ORD-1041</t>
  </si>
  <si>
    <t xml:space="preserve">ORD-1065</t>
  </si>
  <si>
    <t xml:space="preserve">ORD-1155</t>
  </si>
  <si>
    <t xml:space="preserve">ORD-1143</t>
  </si>
  <si>
    <t xml:space="preserve">ORD-1099</t>
  </si>
  <si>
    <t xml:space="preserve">ORD-1114</t>
  </si>
  <si>
    <t xml:space="preserve">ORD-1127</t>
  </si>
  <si>
    <t xml:space="preserve">ORD-1146</t>
  </si>
  <si>
    <t xml:space="preserve">ORD-1105</t>
  </si>
  <si>
    <t xml:space="preserve">ORD-1086</t>
  </si>
  <si>
    <t xml:space="preserve">ORD-1126</t>
  </si>
  <si>
    <t xml:space="preserve">ORD-1033</t>
  </si>
  <si>
    <t xml:space="preserve">ORD-1104</t>
  </si>
  <si>
    <t xml:space="preserve">ORD-1013</t>
  </si>
  <si>
    <t xml:space="preserve">ORD-1071</t>
  </si>
  <si>
    <t xml:space="preserve">ORD-1027</t>
  </si>
  <si>
    <t xml:space="preserve">ORD-1010</t>
  </si>
  <si>
    <t xml:space="preserve">ORD-1050</t>
  </si>
  <si>
    <t xml:space="preserve">Ishaan Roy</t>
  </si>
  <si>
    <t xml:space="preserve">ORD-1061</t>
  </si>
  <si>
    <t xml:space="preserve">Sara Reddy</t>
  </si>
  <si>
    <t xml:space="preserve">ORD-1080</t>
  </si>
  <si>
    <t xml:space="preserve">ORD-1043</t>
  </si>
  <si>
    <t xml:space="preserve">ORD-1002</t>
  </si>
  <si>
    <t xml:space="preserve">ORD-1131</t>
  </si>
  <si>
    <t xml:space="preserve">ORD-1047</t>
  </si>
  <si>
    <t xml:space="preserve">ORD-1059</t>
  </si>
  <si>
    <t xml:space="preserve">Vihaan Reddy</t>
  </si>
  <si>
    <t xml:space="preserve">ORD-1074</t>
  </si>
  <si>
    <t xml:space="preserve">ORD-1003</t>
  </si>
  <si>
    <t xml:space="preserve">ORD-1057</t>
  </si>
  <si>
    <t xml:space="preserve">ORD-1141</t>
  </si>
  <si>
    <t xml:space="preserve">ORD-1152</t>
  </si>
  <si>
    <t xml:space="preserve">ORD-1117</t>
  </si>
  <si>
    <t xml:space="preserve">ORD-1007</t>
  </si>
  <si>
    <t xml:space="preserve">ORD-1075</t>
  </si>
  <si>
    <t xml:space="preserve">ORD-1168</t>
  </si>
  <si>
    <t xml:space="preserve">ORD-1055</t>
  </si>
  <si>
    <t xml:space="preserve">ORD-1014</t>
  </si>
  <si>
    <t xml:space="preserve">ORD-1031</t>
  </si>
  <si>
    <t xml:space="preserve">ORD-1063</t>
  </si>
  <si>
    <t xml:space="preserve">ORD-1044</t>
  </si>
  <si>
    <t xml:space="preserve">ORD-1077</t>
  </si>
  <si>
    <t xml:space="preserve">ORD-1032</t>
  </si>
  <si>
    <t xml:space="preserve">ORD-1076</t>
  </si>
  <si>
    <t xml:space="preserve">ORD-1019</t>
  </si>
  <si>
    <t xml:space="preserve">ORD-1034</t>
  </si>
  <si>
    <t xml:space="preserve">ORD-1053</t>
  </si>
  <si>
    <t xml:space="preserve">ORD-1001</t>
  </si>
  <si>
    <t xml:space="preserve">ORD-1006</t>
  </si>
  <si>
    <t xml:space="preserve">ORD-1102</t>
  </si>
  <si>
    <t xml:space="preserve">ORD-1113</t>
  </si>
  <si>
    <t xml:space="preserve">ORD-1161</t>
  </si>
  <si>
    <t xml:space="preserve">ORD-1046</t>
  </si>
  <si>
    <t xml:space="preserve">ORD-1166</t>
  </si>
  <si>
    <t xml:space="preserve">ORD-1089</t>
  </si>
  <si>
    <t xml:space="preserve">ORD-1112</t>
  </si>
  <si>
    <t xml:space="preserve">ORD-1062</t>
  </si>
  <si>
    <t xml:space="preserve">ORD-1094</t>
  </si>
  <si>
    <t xml:space="preserve">ORD-1115</t>
  </si>
  <si>
    <t xml:space="preserve">ORD-1129</t>
  </si>
  <si>
    <t xml:space="preserve">ORD-1028</t>
  </si>
  <si>
    <t xml:space="preserve">Reyansh Iyer</t>
  </si>
  <si>
    <t xml:space="preserve">ORD-1016</t>
  </si>
  <si>
    <t xml:space="preserve">ORD-1136</t>
  </si>
  <si>
    <t xml:space="preserve">ORD-1101</t>
  </si>
  <si>
    <t xml:space="preserve">ORD-1164</t>
  </si>
  <si>
    <t xml:space="preserve">ORD-1029</t>
  </si>
  <si>
    <t xml:space="preserve">ORD-1079</t>
  </si>
  <si>
    <t xml:space="preserve">ORD-1110</t>
  </si>
  <si>
    <t xml:space="preserve">ORD-1130</t>
  </si>
  <si>
    <t xml:space="preserve">ORD-1005</t>
  </si>
  <si>
    <t xml:space="preserve">ORD-1125</t>
  </si>
  <si>
    <t xml:space="preserve">ORD-1083</t>
  </si>
  <si>
    <t xml:space="preserve">ORD-1091</t>
  </si>
  <si>
    <t xml:space="preserve">ORD-1167</t>
  </si>
  <si>
    <t xml:space="preserve">ORD-1103</t>
  </si>
  <si>
    <t xml:space="preserve">ORD-1036</t>
  </si>
  <si>
    <t xml:space="preserve">ORD-1095</t>
  </si>
  <si>
    <t xml:space="preserve">ORD-1012</t>
  </si>
  <si>
    <t xml:space="preserve">ORD-1037</t>
  </si>
  <si>
    <t xml:space="preserve">ORD-1081</t>
  </si>
  <si>
    <t xml:space="preserve">ORD-1121</t>
  </si>
  <si>
    <t xml:space="preserve">ORD-1058</t>
  </si>
  <si>
    <t xml:space="preserve">ORD-1048</t>
  </si>
  <si>
    <t xml:space="preserve">ORD-1140</t>
  </si>
  <si>
    <t xml:space="preserve">ORD-1118</t>
  </si>
  <si>
    <t xml:space="preserve">Sales Analysis Summary</t>
  </si>
  <si>
    <t xml:space="preserve">Built from the Sales Data sheet using SUMIF / AVERAGEIF formulas. Change the data and these update automatically.</t>
  </si>
  <si>
    <t xml:space="preserve">Sales &amp; Profit by Category</t>
  </si>
  <si>
    <t xml:space="preserve">Total Sales</t>
  </si>
  <si>
    <t xml:space="preserve">Total Profit</t>
  </si>
  <si>
    <t xml:space="preserve">Profit Margin</t>
  </si>
  <si>
    <t xml:space="preserve">Total</t>
  </si>
  <si>
    <t xml:space="preserve">Sales &amp; Profit by Region</t>
  </si>
  <si>
    <t xml:space="preserve">Monthly Sales Trend</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</si>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</sst>
</file>

<file path=xl/styles.xml><?xml version="1.0" encoding="utf-8"?>
<styleSheet xmlns="http://schemas.openxmlformats.org/spreadsheetml/2006/main">
  <numFmts count="6">
    <numFmt numFmtId="164" formatCode="General"/>
    <numFmt numFmtId="165" formatCode="dd\-mmm\-yyyy"/>
    <numFmt numFmtId="166" formatCode="0%"/>
    <numFmt numFmtId="167" formatCode="#,##0"/>
    <numFmt numFmtId="168" formatCode="#,##0;\(#,##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0"/>
      <color rgb="FF555555"/>
      <name val="Arial"/>
      <family val="0"/>
      <charset val="1"/>
    </font>
    <font>
      <b val="true"/>
      <sz val="12"/>
      <color rgb="FF1F4E79"/>
      <name val="Arial"/>
      <family val="0"/>
      <charset val="1"/>
    </font>
    <font>
      <sz val="10"/>
      <name val="Arial"/>
      <family val="0"/>
      <charset val="1"/>
    </font>
    <font>
      <b val="true"/>
      <sz val="10"/>
      <color rgb="FFFFFFFF"/>
      <name val="Arial"/>
      <family val="0"/>
      <charset val="1"/>
    </font>
    <font>
      <b val="true"/>
      <sz val="14"/>
      <color rgb="FF1F4E79"/>
      <name val="Arial"/>
      <family val="0"/>
      <charset val="1"/>
    </font>
    <font>
      <i val="true"/>
      <sz val="9"/>
      <color rgb="FF555555"/>
      <name val="Arial"/>
      <family val="0"/>
      <charset val="1"/>
    </font>
    <font>
      <b val="true"/>
      <sz val="10"/>
      <name val="Arial"/>
      <family val="0"/>
      <charset val="1"/>
    </font>
    <font>
      <b val="true"/>
      <sz val="18"/>
      <color rgb="FF000000"/>
      <name val="Calibri"/>
      <family val="2"/>
    </font>
    <font>
      <sz val="10"/>
      <color rgb="FF000000"/>
      <name val="Calibri"/>
      <family val="2"/>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C0504D"/>
      <rgbColor rgb="FFF9F9F9"/>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F81BD"/>
      <rgbColor rgb="FF969696"/>
      <rgbColor rgb="FF003366"/>
      <rgbColor rgb="FF339966"/>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Sales by Category</a:t>
            </a:r>
          </a:p>
        </c:rich>
      </c:tx>
      <c:overlay val="0"/>
      <c:spPr>
        <a:noFill/>
        <a:ln w="0">
          <a:noFill/>
        </a:ln>
      </c:spPr>
    </c:title>
    <c:autoTitleDeleted val="0"/>
    <c:plotArea>
      <c:barChart>
        <c:barDir val="col"/>
        <c:grouping val="clustered"/>
        <c:varyColors val="0"/>
        <c:ser>
          <c:idx val="0"/>
          <c:order val="0"/>
          <c:tx>
            <c:strRef>
              <c:f>Analysis!B5</c:f>
              <c:strCache>
                <c:ptCount val="1"/>
                <c:pt idx="0">
                  <c:v>Total Sales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Analysis!$A$6:$A$8</c:f>
              <c:strCache>
                <c:ptCount val="3"/>
                <c:pt idx="0">
                  <c:v>Technology</c:v>
                </c:pt>
                <c:pt idx="1">
                  <c:v>Furniture</c:v>
                </c:pt>
                <c:pt idx="2">
                  <c:v>Office Supplies</c:v>
                </c:pt>
              </c:strCache>
            </c:strRef>
          </c:cat>
          <c:val>
            <c:numRef>
              <c:f>Analysis!$B$6:$B$8</c:f>
              <c:numCache>
                <c:formatCode>#,##0</c:formatCode>
                <c:ptCount val="3"/>
                <c:pt idx="0">
                  <c:v>3427775</c:v>
                </c:pt>
                <c:pt idx="1">
                  <c:v>3981990</c:v>
                </c:pt>
                <c:pt idx="2">
                  <c:v>51517.5</c:v>
                </c:pt>
              </c:numCache>
            </c:numRef>
          </c:val>
        </c:ser>
        <c:gapWidth val="150"/>
        <c:overlap val="0"/>
        <c:axId val="71360918"/>
        <c:axId val="9985910"/>
      </c:barChart>
      <c:catAx>
        <c:axId val="713609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5910"/>
        <c:crosses val="autoZero"/>
        <c:auto val="1"/>
        <c:lblAlgn val="ctr"/>
        <c:lblOffset val="100"/>
        <c:noMultiLvlLbl val="0"/>
      </c:catAx>
      <c:valAx>
        <c:axId val="998591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36091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Profit by Region</a:t>
            </a:r>
          </a:p>
        </c:rich>
      </c:tx>
      <c:overlay val="0"/>
      <c:spPr>
        <a:noFill/>
        <a:ln w="0">
          <a:noFill/>
        </a:ln>
      </c:spPr>
    </c:title>
    <c:autoTitleDeleted val="0"/>
    <c:plotArea>
      <c:barChart>
        <c:barDir val="col"/>
        <c:grouping val="clustered"/>
        <c:varyColors val="0"/>
        <c:ser>
          <c:idx val="0"/>
          <c:order val="0"/>
          <c:tx>
            <c:strRef>
              <c:f>Analysis!C13</c:f>
              <c:strCache>
                <c:ptCount val="1"/>
                <c:pt idx="0">
                  <c:v>Total Profit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Analysis!$A$14:$A$17</c:f>
              <c:strCache>
                <c:ptCount val="4"/>
                <c:pt idx="0">
                  <c:v>North</c:v>
                </c:pt>
                <c:pt idx="1">
                  <c:v>South</c:v>
                </c:pt>
                <c:pt idx="2">
                  <c:v>East</c:v>
                </c:pt>
                <c:pt idx="3">
                  <c:v>West</c:v>
                </c:pt>
              </c:strCache>
            </c:strRef>
          </c:cat>
          <c:val>
            <c:numRef>
              <c:f>Analysis!$C$14:$C$17</c:f>
              <c:numCache>
                <c:formatCode>#,##0;\(#,##0\)</c:formatCode>
                <c:ptCount val="4"/>
                <c:pt idx="0">
                  <c:v>82987.3</c:v>
                </c:pt>
                <c:pt idx="1">
                  <c:v>161413.15</c:v>
                </c:pt>
                <c:pt idx="2">
                  <c:v>363976.33</c:v>
                </c:pt>
                <c:pt idx="3">
                  <c:v>192960.43</c:v>
                </c:pt>
              </c:numCache>
            </c:numRef>
          </c:val>
        </c:ser>
        <c:gapWidth val="150"/>
        <c:overlap val="0"/>
        <c:axId val="51339659"/>
        <c:axId val="63599126"/>
      </c:barChart>
      <c:catAx>
        <c:axId val="513396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599126"/>
        <c:crosses val="autoZero"/>
        <c:auto val="1"/>
        <c:lblAlgn val="ctr"/>
        <c:lblOffset val="100"/>
        <c:noMultiLvlLbl val="0"/>
      </c:catAx>
      <c:valAx>
        <c:axId val="6359912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3965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Trend (2024)</a:t>
            </a:r>
          </a:p>
        </c:rich>
      </c:tx>
      <c:overlay val="0"/>
      <c:spPr>
        <a:noFill/>
        <a:ln w="0">
          <a:noFill/>
        </a:ln>
      </c:spPr>
    </c:title>
    <c:autoTitleDeleted val="0"/>
    <c:plotArea>
      <c:lineChart>
        <c:grouping val="standard"/>
        <c:varyColors val="0"/>
        <c:ser>
          <c:idx val="0"/>
          <c:order val="0"/>
          <c:tx>
            <c:strRef>
              <c:f>Analysis!B22</c:f>
              <c:strCache>
                <c:ptCount val="1"/>
                <c:pt idx="0">
                  <c:v>Total Sales</c:v>
                </c:pt>
              </c:strCache>
            </c:strRef>
          </c:tx>
          <c:spPr>
            <a:solidFill>
              <a:srgbClr val="98b855"/>
            </a:solidFill>
            <a:ln w="4752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Analysis!$A$23:$A$34</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Analysis!$B$23:$B$34</c:f>
              <c:numCache>
                <c:formatCode>#,##0</c:formatCode>
                <c:ptCount val="12"/>
                <c:pt idx="0">
                  <c:v>761985</c:v>
                </c:pt>
                <c:pt idx="1">
                  <c:v>263972.5</c:v>
                </c:pt>
                <c:pt idx="2">
                  <c:v>497267.5</c:v>
                </c:pt>
                <c:pt idx="3">
                  <c:v>372525</c:v>
                </c:pt>
                <c:pt idx="4">
                  <c:v>1195053</c:v>
                </c:pt>
                <c:pt idx="5">
                  <c:v>85342</c:v>
                </c:pt>
                <c:pt idx="6">
                  <c:v>486750</c:v>
                </c:pt>
                <c:pt idx="7">
                  <c:v>448002.5</c:v>
                </c:pt>
                <c:pt idx="8">
                  <c:v>637380</c:v>
                </c:pt>
                <c:pt idx="9">
                  <c:v>677927.5</c:v>
                </c:pt>
                <c:pt idx="10">
                  <c:v>1181317.5</c:v>
                </c:pt>
                <c:pt idx="11">
                  <c:v>853760</c:v>
                </c:pt>
              </c:numCache>
            </c:numRef>
          </c:val>
          <c:smooth val="1"/>
        </c:ser>
        <c:hiLowLines>
          <c:spPr>
            <a:ln w="0">
              <a:noFill/>
            </a:ln>
          </c:spPr>
        </c:hiLowLines>
        <c:marker val="0"/>
        <c:axId val="38103477"/>
        <c:axId val="58180123"/>
      </c:lineChart>
      <c:catAx>
        <c:axId val="381034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180123"/>
        <c:crosses val="autoZero"/>
        <c:auto val="1"/>
        <c:lblAlgn val="ctr"/>
        <c:lblOffset val="100"/>
        <c:noMultiLvlLbl val="0"/>
      </c:catAx>
      <c:valAx>
        <c:axId val="5818012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1034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160920</xdr:rowOff>
    </xdr:from>
    <xdr:to>
      <xdr:col>12</xdr:col>
      <xdr:colOff>39240</xdr:colOff>
      <xdr:row>16</xdr:row>
      <xdr:rowOff>13320</xdr:rowOff>
    </xdr:to>
    <xdr:graphicFrame>
      <xdr:nvGraphicFramePr>
        <xdr:cNvPr id="0" name="Chart 1"/>
        <xdr:cNvGraphicFramePr/>
      </xdr:nvGraphicFramePr>
      <xdr:xfrm>
        <a:off x="4911120" y="57168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18</xdr:row>
      <xdr:rowOff>160560</xdr:rowOff>
    </xdr:from>
    <xdr:to>
      <xdr:col>12</xdr:col>
      <xdr:colOff>39240</xdr:colOff>
      <xdr:row>32</xdr:row>
      <xdr:rowOff>13320</xdr:rowOff>
    </xdr:to>
    <xdr:graphicFrame>
      <xdr:nvGraphicFramePr>
        <xdr:cNvPr id="1" name="Chart 2"/>
        <xdr:cNvGraphicFramePr/>
      </xdr:nvGraphicFramePr>
      <xdr:xfrm>
        <a:off x="4911120" y="3619440"/>
        <a:ext cx="431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34</xdr:row>
      <xdr:rowOff>160560</xdr:rowOff>
    </xdr:from>
    <xdr:to>
      <xdr:col>13</xdr:col>
      <xdr:colOff>147600</xdr:colOff>
      <xdr:row>48</xdr:row>
      <xdr:rowOff>13320</xdr:rowOff>
    </xdr:to>
    <xdr:graphicFrame>
      <xdr:nvGraphicFramePr>
        <xdr:cNvPr id="2" name="Chart 3"/>
        <xdr:cNvGraphicFramePr/>
      </xdr:nvGraphicFramePr>
      <xdr:xfrm>
        <a:off x="4911120" y="6667560"/>
        <a:ext cx="50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row>
    <row r="7" customFormat="false" ht="15" hidden="false" customHeight="false" outlineLevel="0" collapsed="false">
      <c r="A7" s="3" t="s">
        <v>4</v>
      </c>
    </row>
    <row r="8" customFormat="false" ht="15" hidden="false" customHeight="false" outlineLevel="0" collapsed="false">
      <c r="A8" s="4" t="s">
        <v>5</v>
      </c>
    </row>
    <row r="9" customFormat="false" ht="23.85" hidden="false" customHeight="false" outlineLevel="0" collapsed="false">
      <c r="A9" s="4" t="s">
        <v>6</v>
      </c>
    </row>
    <row r="10" customFormat="false" ht="23.8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4" customFormat="false" ht="15" hidden="false" customHeight="false" outlineLevel="0" collapsed="false">
      <c r="A14" s="3" t="s">
        <v>10</v>
      </c>
    </row>
    <row r="15" customFormat="false" ht="23.85" hidden="false" customHeight="false" outlineLevel="0" collapsed="false">
      <c r="A15" s="4" t="s">
        <v>11</v>
      </c>
    </row>
    <row r="16" customFormat="false" ht="23.85" hidden="false" customHeight="false" outlineLevel="0" collapsed="false">
      <c r="A16" s="4" t="s">
        <v>12</v>
      </c>
    </row>
    <row r="17" customFormat="false" ht="23.85" hidden="false" customHeight="false" outlineLevel="0" collapsed="false">
      <c r="A17" s="4" t="s">
        <v>13</v>
      </c>
    </row>
    <row r="18" customFormat="false" ht="15" hidden="false" customHeight="false" outlineLevel="0" collapsed="false">
      <c r="A18" s="4" t="s">
        <v>14</v>
      </c>
    </row>
    <row r="20" customFormat="false" ht="15" hidden="false" customHeight="false" outlineLevel="0" collapsed="false">
      <c r="A20" s="3" t="s">
        <v>15</v>
      </c>
    </row>
    <row r="21" customFormat="false" ht="15" hidden="false" customHeight="false" outlineLevel="0" collapsed="false">
      <c r="A21" s="4" t="s">
        <v>16</v>
      </c>
    </row>
    <row r="23" customFormat="false" ht="15" hidden="false" customHeight="false" outlineLevel="0" collapsed="false">
      <c r="A23" s="3" t="s">
        <v>17</v>
      </c>
    </row>
    <row r="24" customFormat="false" ht="15" hidden="false" customHeight="false" outlineLevel="0" collapsed="false">
      <c r="A24" s="4" t="s">
        <v>18</v>
      </c>
    </row>
    <row r="25" customFormat="false" ht="15" hidden="false" customHeight="false" outlineLevel="0" collapsed="false">
      <c r="A25" s="4" t="s">
        <v>19</v>
      </c>
    </row>
    <row r="26" customFormat="false" ht="15" hidden="false" customHeight="false" outlineLevel="0" collapsed="false">
      <c r="A26"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3"/>
    <col collapsed="false" customWidth="true" hidden="false" outlineLevel="0" max="5" min="5" style="0" width="9"/>
    <col collapsed="false" customWidth="true" hidden="false" outlineLevel="0" max="7" min="6" style="0" width="15"/>
    <col collapsed="false" customWidth="true" hidden="false" outlineLevel="0" max="9" min="8" style="0" width="10"/>
    <col collapsed="false" customWidth="true" hidden="false" outlineLevel="0" max="11" min="10" style="0" width="12"/>
  </cols>
  <sheetData>
    <row r="1" customFormat="false" ht="15" hidden="false" customHeight="false" outlineLevel="0" collapsed="false">
      <c r="A1" s="5" t="s">
        <v>21</v>
      </c>
      <c r="B1" s="5" t="s">
        <v>22</v>
      </c>
      <c r="C1" s="5" t="s">
        <v>23</v>
      </c>
      <c r="D1" s="5" t="s">
        <v>24</v>
      </c>
      <c r="E1" s="5" t="s">
        <v>25</v>
      </c>
      <c r="F1" s="5" t="s">
        <v>26</v>
      </c>
      <c r="G1" s="5" t="s">
        <v>27</v>
      </c>
      <c r="H1" s="5" t="s">
        <v>28</v>
      </c>
      <c r="I1" s="5" t="s">
        <v>29</v>
      </c>
      <c r="J1" s="5" t="s">
        <v>30</v>
      </c>
      <c r="K1" s="5" t="s">
        <v>31</v>
      </c>
      <c r="L1" s="6" t="s">
        <v>32</v>
      </c>
    </row>
    <row r="2" customFormat="false" ht="15" hidden="false" customHeight="false" outlineLevel="0" collapsed="false">
      <c r="A2" s="7" t="s">
        <v>33</v>
      </c>
      <c r="B2" s="8" t="n">
        <v>45293</v>
      </c>
      <c r="C2" s="7" t="s">
        <v>34</v>
      </c>
      <c r="D2" s="7" t="s">
        <v>35</v>
      </c>
      <c r="E2" s="7" t="s">
        <v>36</v>
      </c>
      <c r="F2" s="7" t="s">
        <v>37</v>
      </c>
      <c r="G2" s="7" t="s">
        <v>38</v>
      </c>
      <c r="H2" s="7" t="n">
        <v>8</v>
      </c>
      <c r="I2" s="9" t="n">
        <v>0.25</v>
      </c>
      <c r="J2" s="10" t="n">
        <v>36000</v>
      </c>
      <c r="K2" s="11" t="n">
        <v>720</v>
      </c>
      <c r="L2" s="7" t="str">
        <f aca="false">TEXT(B2,"yyyy-mm")</f>
        <v>2024-01</v>
      </c>
    </row>
    <row r="3" customFormat="false" ht="15" hidden="false" customHeight="false" outlineLevel="0" collapsed="false">
      <c r="A3" s="7" t="s">
        <v>39</v>
      </c>
      <c r="B3" s="8" t="n">
        <v>45295</v>
      </c>
      <c r="C3" s="7" t="s">
        <v>40</v>
      </c>
      <c r="D3" s="7" t="s">
        <v>41</v>
      </c>
      <c r="E3" s="7" t="s">
        <v>42</v>
      </c>
      <c r="F3" s="7" t="s">
        <v>43</v>
      </c>
      <c r="G3" s="7" t="s">
        <v>44</v>
      </c>
      <c r="H3" s="7" t="n">
        <v>7</v>
      </c>
      <c r="I3" s="9" t="n">
        <v>0</v>
      </c>
      <c r="J3" s="10" t="n">
        <v>196000</v>
      </c>
      <c r="K3" s="11" t="n">
        <v>35280</v>
      </c>
      <c r="L3" s="7" t="str">
        <f aca="false">TEXT(B3,"yyyy-mm")</f>
        <v>2024-01</v>
      </c>
    </row>
    <row r="4" customFormat="false" ht="15" hidden="false" customHeight="false" outlineLevel="0" collapsed="false">
      <c r="A4" s="7" t="s">
        <v>45</v>
      </c>
      <c r="B4" s="8" t="n">
        <v>45305</v>
      </c>
      <c r="C4" s="7" t="s">
        <v>46</v>
      </c>
      <c r="D4" s="7" t="s">
        <v>41</v>
      </c>
      <c r="E4" s="7" t="s">
        <v>36</v>
      </c>
      <c r="F4" s="7" t="s">
        <v>47</v>
      </c>
      <c r="G4" s="7" t="s">
        <v>48</v>
      </c>
      <c r="H4" s="7" t="n">
        <v>8</v>
      </c>
      <c r="I4" s="9" t="n">
        <v>0.15</v>
      </c>
      <c r="J4" s="10" t="n">
        <v>1020</v>
      </c>
      <c r="K4" s="11" t="n">
        <v>183.6</v>
      </c>
      <c r="L4" s="7" t="str">
        <f aca="false">TEXT(B4,"yyyy-mm")</f>
        <v>2024-01</v>
      </c>
    </row>
    <row r="5" customFormat="false" ht="15" hidden="false" customHeight="false" outlineLevel="0" collapsed="false">
      <c r="A5" s="7" t="s">
        <v>49</v>
      </c>
      <c r="B5" s="8" t="n">
        <v>45306</v>
      </c>
      <c r="C5" s="7" t="s">
        <v>50</v>
      </c>
      <c r="D5" s="7" t="s">
        <v>41</v>
      </c>
      <c r="E5" s="7" t="s">
        <v>42</v>
      </c>
      <c r="F5" s="7" t="s">
        <v>43</v>
      </c>
      <c r="G5" s="7" t="s">
        <v>51</v>
      </c>
      <c r="H5" s="7" t="n">
        <v>1</v>
      </c>
      <c r="I5" s="9" t="n">
        <v>0.05</v>
      </c>
      <c r="J5" s="10" t="n">
        <v>3325</v>
      </c>
      <c r="K5" s="11" t="n">
        <v>465.5</v>
      </c>
      <c r="L5" s="7" t="str">
        <f aca="false">TEXT(B5,"yyyy-mm")</f>
        <v>2024-01</v>
      </c>
    </row>
    <row r="6" customFormat="false" ht="15" hidden="false" customHeight="false" outlineLevel="0" collapsed="false">
      <c r="A6" s="7" t="s">
        <v>52</v>
      </c>
      <c r="B6" s="8" t="n">
        <v>45306</v>
      </c>
      <c r="C6" s="7" t="s">
        <v>53</v>
      </c>
      <c r="D6" s="7" t="s">
        <v>35</v>
      </c>
      <c r="E6" s="7" t="s">
        <v>54</v>
      </c>
      <c r="F6" s="7" t="s">
        <v>37</v>
      </c>
      <c r="G6" s="7" t="s">
        <v>55</v>
      </c>
      <c r="H6" s="7" t="n">
        <v>6</v>
      </c>
      <c r="I6" s="9" t="n">
        <v>0.25</v>
      </c>
      <c r="J6" s="10" t="n">
        <v>36000</v>
      </c>
      <c r="K6" s="11" t="n">
        <v>720</v>
      </c>
      <c r="L6" s="7" t="str">
        <f aca="false">TEXT(B6,"yyyy-mm")</f>
        <v>2024-01</v>
      </c>
    </row>
    <row r="7" customFormat="false" ht="15" hidden="false" customHeight="false" outlineLevel="0" collapsed="false">
      <c r="A7" s="7" t="s">
        <v>56</v>
      </c>
      <c r="B7" s="8" t="n">
        <v>45306</v>
      </c>
      <c r="C7" s="7" t="s">
        <v>57</v>
      </c>
      <c r="D7" s="7" t="s">
        <v>35</v>
      </c>
      <c r="E7" s="7" t="s">
        <v>58</v>
      </c>
      <c r="F7" s="7" t="s">
        <v>43</v>
      </c>
      <c r="G7" s="7" t="s">
        <v>59</v>
      </c>
      <c r="H7" s="7" t="n">
        <v>5</v>
      </c>
      <c r="I7" s="9" t="n">
        <v>0.2</v>
      </c>
      <c r="J7" s="10" t="n">
        <v>220000</v>
      </c>
      <c r="K7" s="11" t="n">
        <v>4400</v>
      </c>
      <c r="L7" s="7" t="str">
        <f aca="false">TEXT(B7,"yyyy-mm")</f>
        <v>2024-01</v>
      </c>
    </row>
    <row r="8" customFormat="false" ht="15" hidden="false" customHeight="false" outlineLevel="0" collapsed="false">
      <c r="A8" s="7" t="s">
        <v>60</v>
      </c>
      <c r="B8" s="8" t="n">
        <v>45307</v>
      </c>
      <c r="C8" s="7" t="s">
        <v>61</v>
      </c>
      <c r="D8" s="7" t="s">
        <v>35</v>
      </c>
      <c r="E8" s="7" t="s">
        <v>58</v>
      </c>
      <c r="F8" s="7" t="s">
        <v>43</v>
      </c>
      <c r="G8" s="7" t="s">
        <v>44</v>
      </c>
      <c r="H8" s="7" t="n">
        <v>1</v>
      </c>
      <c r="I8" s="9" t="n">
        <v>0.15</v>
      </c>
      <c r="J8" s="10" t="n">
        <v>23800</v>
      </c>
      <c r="K8" s="11" t="n">
        <v>1428</v>
      </c>
      <c r="L8" s="7" t="str">
        <f aca="false">TEXT(B8,"yyyy-mm")</f>
        <v>2024-01</v>
      </c>
    </row>
    <row r="9" customFormat="false" ht="15" hidden="false" customHeight="false" outlineLevel="0" collapsed="false">
      <c r="A9" s="7" t="s">
        <v>62</v>
      </c>
      <c r="B9" s="8" t="n">
        <v>45312</v>
      </c>
      <c r="C9" s="7" t="s">
        <v>46</v>
      </c>
      <c r="D9" s="7" t="s">
        <v>35</v>
      </c>
      <c r="E9" s="7" t="s">
        <v>42</v>
      </c>
      <c r="F9" s="7" t="s">
        <v>37</v>
      </c>
      <c r="G9" s="7" t="s">
        <v>63</v>
      </c>
      <c r="H9" s="7" t="n">
        <v>4</v>
      </c>
      <c r="I9" s="9" t="n">
        <v>0.2</v>
      </c>
      <c r="J9" s="10" t="n">
        <v>48000</v>
      </c>
      <c r="K9" s="11" t="n">
        <v>2880</v>
      </c>
      <c r="L9" s="7" t="str">
        <f aca="false">TEXT(B9,"yyyy-mm")</f>
        <v>2024-01</v>
      </c>
    </row>
    <row r="10" customFormat="false" ht="15" hidden="false" customHeight="false" outlineLevel="0" collapsed="false">
      <c r="A10" s="7" t="s">
        <v>64</v>
      </c>
      <c r="B10" s="8" t="n">
        <v>45315</v>
      </c>
      <c r="C10" s="7" t="s">
        <v>65</v>
      </c>
      <c r="D10" s="7" t="s">
        <v>41</v>
      </c>
      <c r="E10" s="7" t="s">
        <v>36</v>
      </c>
      <c r="F10" s="7" t="s">
        <v>43</v>
      </c>
      <c r="G10" s="7" t="s">
        <v>66</v>
      </c>
      <c r="H10" s="7" t="n">
        <v>1</v>
      </c>
      <c r="I10" s="9" t="n">
        <v>0</v>
      </c>
      <c r="J10" s="10" t="n">
        <v>12000</v>
      </c>
      <c r="K10" s="11" t="n">
        <v>2160</v>
      </c>
      <c r="L10" s="7" t="str">
        <f aca="false">TEXT(B10,"yyyy-mm")</f>
        <v>2024-01</v>
      </c>
    </row>
    <row r="11" customFormat="false" ht="15" hidden="false" customHeight="false" outlineLevel="0" collapsed="false">
      <c r="A11" s="7" t="s">
        <v>67</v>
      </c>
      <c r="B11" s="8" t="n">
        <v>45317</v>
      </c>
      <c r="C11" s="7" t="s">
        <v>68</v>
      </c>
      <c r="D11" s="7" t="s">
        <v>35</v>
      </c>
      <c r="E11" s="7" t="s">
        <v>36</v>
      </c>
      <c r="F11" s="7" t="s">
        <v>47</v>
      </c>
      <c r="G11" s="7" t="s">
        <v>69</v>
      </c>
      <c r="H11" s="7" t="n">
        <v>4</v>
      </c>
      <c r="I11" s="9" t="n">
        <v>0.2</v>
      </c>
      <c r="J11" s="10" t="n">
        <v>640</v>
      </c>
      <c r="K11" s="11" t="n">
        <v>89.6</v>
      </c>
      <c r="L11" s="7" t="str">
        <f aca="false">TEXT(B11,"yyyy-mm")</f>
        <v>2024-01</v>
      </c>
    </row>
    <row r="12" customFormat="false" ht="15" hidden="false" customHeight="false" outlineLevel="0" collapsed="false">
      <c r="A12" s="7" t="s">
        <v>70</v>
      </c>
      <c r="B12" s="8" t="n">
        <v>45318</v>
      </c>
      <c r="C12" s="7" t="s">
        <v>71</v>
      </c>
      <c r="D12" s="7" t="s">
        <v>41</v>
      </c>
      <c r="E12" s="7" t="s">
        <v>42</v>
      </c>
      <c r="F12" s="7" t="s">
        <v>37</v>
      </c>
      <c r="G12" s="7" t="s">
        <v>72</v>
      </c>
      <c r="H12" s="7" t="n">
        <v>5</v>
      </c>
      <c r="I12" s="9" t="n">
        <v>0.05</v>
      </c>
      <c r="J12" s="10" t="n">
        <v>152000</v>
      </c>
      <c r="K12" s="11" t="n">
        <v>27360</v>
      </c>
      <c r="L12" s="7" t="str">
        <f aca="false">TEXT(B12,"yyyy-mm")</f>
        <v>2024-01</v>
      </c>
    </row>
    <row r="13" customFormat="false" ht="15" hidden="false" customHeight="false" outlineLevel="0" collapsed="false">
      <c r="A13" s="7" t="s">
        <v>73</v>
      </c>
      <c r="B13" s="8" t="n">
        <v>45318</v>
      </c>
      <c r="C13" s="7" t="s">
        <v>74</v>
      </c>
      <c r="D13" s="7" t="s">
        <v>75</v>
      </c>
      <c r="E13" s="7" t="s">
        <v>54</v>
      </c>
      <c r="F13" s="7" t="s">
        <v>43</v>
      </c>
      <c r="G13" s="7" t="s">
        <v>44</v>
      </c>
      <c r="H13" s="7" t="n">
        <v>1</v>
      </c>
      <c r="I13" s="9" t="n">
        <v>0.2</v>
      </c>
      <c r="J13" s="10" t="n">
        <v>22400</v>
      </c>
      <c r="K13" s="11" t="n">
        <v>448</v>
      </c>
      <c r="L13" s="7" t="str">
        <f aca="false">TEXT(B13,"yyyy-mm")</f>
        <v>2024-01</v>
      </c>
    </row>
    <row r="14" customFormat="false" ht="15" hidden="false" customHeight="false" outlineLevel="0" collapsed="false">
      <c r="A14" s="7" t="s">
        <v>76</v>
      </c>
      <c r="B14" s="8" t="n">
        <v>45322</v>
      </c>
      <c r="C14" s="7" t="s">
        <v>77</v>
      </c>
      <c r="D14" s="7" t="s">
        <v>35</v>
      </c>
      <c r="E14" s="7" t="s">
        <v>54</v>
      </c>
      <c r="F14" s="7" t="s">
        <v>43</v>
      </c>
      <c r="G14" s="7" t="s">
        <v>66</v>
      </c>
      <c r="H14" s="7" t="n">
        <v>1</v>
      </c>
      <c r="I14" s="9" t="n">
        <v>0.1</v>
      </c>
      <c r="J14" s="10" t="n">
        <v>10800</v>
      </c>
      <c r="K14" s="11" t="n">
        <v>1080</v>
      </c>
      <c r="L14" s="7" t="str">
        <f aca="false">TEXT(B14,"yyyy-mm")</f>
        <v>2024-01</v>
      </c>
    </row>
    <row r="15" customFormat="false" ht="15" hidden="false" customHeight="false" outlineLevel="0" collapsed="false">
      <c r="A15" s="7" t="s">
        <v>78</v>
      </c>
      <c r="B15" s="8" t="n">
        <v>45329</v>
      </c>
      <c r="C15" s="7" t="s">
        <v>79</v>
      </c>
      <c r="D15" s="7" t="s">
        <v>75</v>
      </c>
      <c r="E15" s="7" t="s">
        <v>36</v>
      </c>
      <c r="F15" s="7" t="s">
        <v>43</v>
      </c>
      <c r="G15" s="7" t="s">
        <v>51</v>
      </c>
      <c r="H15" s="7" t="n">
        <v>3</v>
      </c>
      <c r="I15" s="9" t="n">
        <v>0</v>
      </c>
      <c r="J15" s="10" t="n">
        <v>10500</v>
      </c>
      <c r="K15" s="11" t="n">
        <v>1890</v>
      </c>
      <c r="L15" s="7" t="str">
        <f aca="false">TEXT(B15,"yyyy-mm")</f>
        <v>2024-02</v>
      </c>
    </row>
    <row r="16" customFormat="false" ht="15" hidden="false" customHeight="false" outlineLevel="0" collapsed="false">
      <c r="A16" s="7" t="s">
        <v>80</v>
      </c>
      <c r="B16" s="8" t="n">
        <v>45330</v>
      </c>
      <c r="C16" s="7" t="s">
        <v>46</v>
      </c>
      <c r="D16" s="7" t="s">
        <v>41</v>
      </c>
      <c r="E16" s="7" t="s">
        <v>54</v>
      </c>
      <c r="F16" s="7" t="s">
        <v>47</v>
      </c>
      <c r="G16" s="7" t="s">
        <v>48</v>
      </c>
      <c r="H16" s="7" t="n">
        <v>1</v>
      </c>
      <c r="I16" s="9" t="n">
        <v>0.25</v>
      </c>
      <c r="J16" s="10" t="n">
        <v>112.5</v>
      </c>
      <c r="K16" s="11" t="n">
        <v>11.25</v>
      </c>
      <c r="L16" s="7" t="str">
        <f aca="false">TEXT(B16,"yyyy-mm")</f>
        <v>2024-02</v>
      </c>
    </row>
    <row r="17" customFormat="false" ht="15" hidden="false" customHeight="false" outlineLevel="0" collapsed="false">
      <c r="A17" s="7" t="s">
        <v>81</v>
      </c>
      <c r="B17" s="8" t="n">
        <v>45331</v>
      </c>
      <c r="C17" s="7" t="s">
        <v>82</v>
      </c>
      <c r="D17" s="7" t="s">
        <v>41</v>
      </c>
      <c r="E17" s="7" t="s">
        <v>58</v>
      </c>
      <c r="F17" s="7" t="s">
        <v>47</v>
      </c>
      <c r="G17" s="7" t="s">
        <v>48</v>
      </c>
      <c r="H17" s="7" t="n">
        <v>6</v>
      </c>
      <c r="I17" s="9" t="n">
        <v>0.1</v>
      </c>
      <c r="J17" s="10" t="n">
        <v>810</v>
      </c>
      <c r="K17" s="11" t="n">
        <v>178.2</v>
      </c>
      <c r="L17" s="7" t="str">
        <f aca="false">TEXT(B17,"yyyy-mm")</f>
        <v>2024-02</v>
      </c>
    </row>
    <row r="18" customFormat="false" ht="15" hidden="false" customHeight="false" outlineLevel="0" collapsed="false">
      <c r="A18" s="7" t="s">
        <v>83</v>
      </c>
      <c r="B18" s="8" t="n">
        <v>45332</v>
      </c>
      <c r="C18" s="7" t="s">
        <v>68</v>
      </c>
      <c r="D18" s="7" t="s">
        <v>41</v>
      </c>
      <c r="E18" s="7" t="s">
        <v>36</v>
      </c>
      <c r="F18" s="7" t="s">
        <v>37</v>
      </c>
      <c r="G18" s="7" t="s">
        <v>72</v>
      </c>
      <c r="H18" s="7" t="n">
        <v>3</v>
      </c>
      <c r="I18" s="9" t="n">
        <v>0.15</v>
      </c>
      <c r="J18" s="10" t="n">
        <v>81600</v>
      </c>
      <c r="K18" s="11" t="n">
        <v>8160</v>
      </c>
      <c r="L18" s="7" t="str">
        <f aca="false">TEXT(B18,"yyyy-mm")</f>
        <v>2024-02</v>
      </c>
    </row>
    <row r="19" customFormat="false" ht="15" hidden="false" customHeight="false" outlineLevel="0" collapsed="false">
      <c r="A19" s="7" t="s">
        <v>84</v>
      </c>
      <c r="B19" s="8" t="n">
        <v>45338</v>
      </c>
      <c r="C19" s="7" t="s">
        <v>68</v>
      </c>
      <c r="D19" s="7" t="s">
        <v>41</v>
      </c>
      <c r="E19" s="7" t="s">
        <v>36</v>
      </c>
      <c r="F19" s="7" t="s">
        <v>37</v>
      </c>
      <c r="G19" s="7" t="s">
        <v>38</v>
      </c>
      <c r="H19" s="7" t="n">
        <v>7</v>
      </c>
      <c r="I19" s="9" t="n">
        <v>0.05</v>
      </c>
      <c r="J19" s="10" t="n">
        <v>39900</v>
      </c>
      <c r="K19" s="11" t="n">
        <v>7182</v>
      </c>
      <c r="L19" s="7" t="str">
        <f aca="false">TEXT(B19,"yyyy-mm")</f>
        <v>2024-02</v>
      </c>
    </row>
    <row r="20" customFormat="false" ht="15" hidden="false" customHeight="false" outlineLevel="0" collapsed="false">
      <c r="A20" s="7" t="s">
        <v>85</v>
      </c>
      <c r="B20" s="8" t="n">
        <v>45338</v>
      </c>
      <c r="C20" s="7" t="s">
        <v>34</v>
      </c>
      <c r="D20" s="7" t="s">
        <v>35</v>
      </c>
      <c r="E20" s="7" t="s">
        <v>36</v>
      </c>
      <c r="F20" s="7" t="s">
        <v>37</v>
      </c>
      <c r="G20" s="7" t="s">
        <v>38</v>
      </c>
      <c r="H20" s="7" t="n">
        <v>7</v>
      </c>
      <c r="I20" s="9" t="n">
        <v>0</v>
      </c>
      <c r="J20" s="10" t="n">
        <v>42000</v>
      </c>
      <c r="K20" s="11" t="n">
        <v>9240</v>
      </c>
      <c r="L20" s="7" t="str">
        <f aca="false">TEXT(B20,"yyyy-mm")</f>
        <v>2024-02</v>
      </c>
    </row>
    <row r="21" customFormat="false" ht="15" hidden="false" customHeight="false" outlineLevel="0" collapsed="false">
      <c r="A21" s="7" t="s">
        <v>86</v>
      </c>
      <c r="B21" s="8" t="n">
        <v>45343</v>
      </c>
      <c r="C21" s="7" t="s">
        <v>87</v>
      </c>
      <c r="D21" s="7" t="s">
        <v>75</v>
      </c>
      <c r="E21" s="7" t="s">
        <v>42</v>
      </c>
      <c r="F21" s="7" t="s">
        <v>43</v>
      </c>
      <c r="G21" s="7" t="s">
        <v>51</v>
      </c>
      <c r="H21" s="7" t="n">
        <v>4</v>
      </c>
      <c r="I21" s="9" t="n">
        <v>0.05</v>
      </c>
      <c r="J21" s="10" t="n">
        <v>13300</v>
      </c>
      <c r="K21" s="11" t="n">
        <v>1862</v>
      </c>
      <c r="L21" s="7" t="str">
        <f aca="false">TEXT(B21,"yyyy-mm")</f>
        <v>2024-02</v>
      </c>
    </row>
    <row r="22" customFormat="false" ht="15" hidden="false" customHeight="false" outlineLevel="0" collapsed="false">
      <c r="A22" s="7" t="s">
        <v>88</v>
      </c>
      <c r="B22" s="8" t="n">
        <v>45345</v>
      </c>
      <c r="C22" s="7" t="s">
        <v>65</v>
      </c>
      <c r="D22" s="7" t="s">
        <v>75</v>
      </c>
      <c r="E22" s="7" t="s">
        <v>42</v>
      </c>
      <c r="F22" s="7" t="s">
        <v>47</v>
      </c>
      <c r="G22" s="7" t="s">
        <v>89</v>
      </c>
      <c r="H22" s="7" t="n">
        <v>3</v>
      </c>
      <c r="I22" s="9" t="n">
        <v>0</v>
      </c>
      <c r="J22" s="10" t="n">
        <v>750</v>
      </c>
      <c r="K22" s="11" t="n">
        <v>225</v>
      </c>
      <c r="L22" s="7" t="str">
        <f aca="false">TEXT(B22,"yyyy-mm")</f>
        <v>2024-02</v>
      </c>
    </row>
    <row r="23" customFormat="false" ht="15" hidden="false" customHeight="false" outlineLevel="0" collapsed="false">
      <c r="A23" s="7" t="s">
        <v>90</v>
      </c>
      <c r="B23" s="8" t="n">
        <v>45351</v>
      </c>
      <c r="C23" s="7" t="s">
        <v>50</v>
      </c>
      <c r="D23" s="7" t="s">
        <v>35</v>
      </c>
      <c r="E23" s="7" t="s">
        <v>36</v>
      </c>
      <c r="F23" s="7" t="s">
        <v>37</v>
      </c>
      <c r="G23" s="7" t="s">
        <v>63</v>
      </c>
      <c r="H23" s="7" t="n">
        <v>5</v>
      </c>
      <c r="I23" s="9" t="n">
        <v>0</v>
      </c>
      <c r="J23" s="10" t="n">
        <v>75000</v>
      </c>
      <c r="K23" s="11" t="n">
        <v>16500</v>
      </c>
      <c r="L23" s="7" t="str">
        <f aca="false">TEXT(B23,"yyyy-mm")</f>
        <v>2024-02</v>
      </c>
    </row>
    <row r="24" customFormat="false" ht="15" hidden="false" customHeight="false" outlineLevel="0" collapsed="false">
      <c r="A24" s="7" t="s">
        <v>91</v>
      </c>
      <c r="B24" s="8" t="n">
        <v>45353</v>
      </c>
      <c r="C24" s="7" t="s">
        <v>46</v>
      </c>
      <c r="D24" s="7" t="s">
        <v>41</v>
      </c>
      <c r="E24" s="7" t="s">
        <v>42</v>
      </c>
      <c r="F24" s="7" t="s">
        <v>43</v>
      </c>
      <c r="G24" s="7" t="s">
        <v>44</v>
      </c>
      <c r="H24" s="7" t="n">
        <v>2</v>
      </c>
      <c r="I24" s="9" t="n">
        <v>0.05</v>
      </c>
      <c r="J24" s="10" t="n">
        <v>53200</v>
      </c>
      <c r="K24" s="11" t="n">
        <v>7448</v>
      </c>
      <c r="L24" s="7" t="str">
        <f aca="false">TEXT(B24,"yyyy-mm")</f>
        <v>2024-03</v>
      </c>
    </row>
    <row r="25" customFormat="false" ht="15" hidden="false" customHeight="false" outlineLevel="0" collapsed="false">
      <c r="A25" s="7" t="s">
        <v>92</v>
      </c>
      <c r="B25" s="8" t="n">
        <v>45354</v>
      </c>
      <c r="C25" s="7" t="s">
        <v>46</v>
      </c>
      <c r="D25" s="7" t="s">
        <v>41</v>
      </c>
      <c r="E25" s="7" t="s">
        <v>54</v>
      </c>
      <c r="F25" s="7" t="s">
        <v>43</v>
      </c>
      <c r="G25" s="7" t="s">
        <v>93</v>
      </c>
      <c r="H25" s="7" t="n">
        <v>4</v>
      </c>
      <c r="I25" s="9" t="n">
        <v>0.2</v>
      </c>
      <c r="J25" s="10" t="n">
        <v>4800</v>
      </c>
      <c r="K25" s="11" t="n">
        <v>96</v>
      </c>
      <c r="L25" s="7" t="str">
        <f aca="false">TEXT(B25,"yyyy-mm")</f>
        <v>2024-03</v>
      </c>
    </row>
    <row r="26" customFormat="false" ht="15" hidden="false" customHeight="false" outlineLevel="0" collapsed="false">
      <c r="A26" s="7" t="s">
        <v>94</v>
      </c>
      <c r="B26" s="8" t="n">
        <v>45354</v>
      </c>
      <c r="C26" s="7" t="s">
        <v>95</v>
      </c>
      <c r="D26" s="7" t="s">
        <v>75</v>
      </c>
      <c r="E26" s="7" t="s">
        <v>36</v>
      </c>
      <c r="F26" s="7" t="s">
        <v>43</v>
      </c>
      <c r="G26" s="7" t="s">
        <v>44</v>
      </c>
      <c r="H26" s="7" t="n">
        <v>4</v>
      </c>
      <c r="I26" s="9" t="n">
        <v>0.25</v>
      </c>
      <c r="J26" s="10" t="n">
        <v>84000</v>
      </c>
      <c r="K26" s="11" t="n">
        <v>-1680</v>
      </c>
      <c r="L26" s="7" t="str">
        <f aca="false">TEXT(B26,"yyyy-mm")</f>
        <v>2024-03</v>
      </c>
    </row>
    <row r="27" customFormat="false" ht="15" hidden="false" customHeight="false" outlineLevel="0" collapsed="false">
      <c r="A27" s="7" t="s">
        <v>96</v>
      </c>
      <c r="B27" s="8" t="n">
        <v>45358</v>
      </c>
      <c r="C27" s="7" t="s">
        <v>97</v>
      </c>
      <c r="D27" s="7" t="s">
        <v>75</v>
      </c>
      <c r="E27" s="7" t="s">
        <v>54</v>
      </c>
      <c r="F27" s="7" t="s">
        <v>47</v>
      </c>
      <c r="G27" s="7" t="s">
        <v>98</v>
      </c>
      <c r="H27" s="7" t="n">
        <v>6</v>
      </c>
      <c r="I27" s="9" t="n">
        <v>0.2</v>
      </c>
      <c r="J27" s="10" t="n">
        <v>1680</v>
      </c>
      <c r="K27" s="11" t="n">
        <v>235.2</v>
      </c>
      <c r="L27" s="7" t="str">
        <f aca="false">TEXT(B27,"yyyy-mm")</f>
        <v>2024-03</v>
      </c>
    </row>
    <row r="28" customFormat="false" ht="15" hidden="false" customHeight="false" outlineLevel="0" collapsed="false">
      <c r="A28" s="7" t="s">
        <v>99</v>
      </c>
      <c r="B28" s="8" t="n">
        <v>45361</v>
      </c>
      <c r="C28" s="7" t="s">
        <v>65</v>
      </c>
      <c r="D28" s="7" t="s">
        <v>35</v>
      </c>
      <c r="E28" s="7" t="s">
        <v>36</v>
      </c>
      <c r="F28" s="7" t="s">
        <v>37</v>
      </c>
      <c r="G28" s="7" t="s">
        <v>63</v>
      </c>
      <c r="H28" s="7" t="n">
        <v>1</v>
      </c>
      <c r="I28" s="9" t="n">
        <v>0.05</v>
      </c>
      <c r="J28" s="10" t="n">
        <v>14250</v>
      </c>
      <c r="K28" s="11" t="n">
        <v>2565</v>
      </c>
      <c r="L28" s="7" t="str">
        <f aca="false">TEXT(B28,"yyyy-mm")</f>
        <v>2024-03</v>
      </c>
    </row>
    <row r="29" customFormat="false" ht="15" hidden="false" customHeight="false" outlineLevel="0" collapsed="false">
      <c r="A29" s="7" t="s">
        <v>100</v>
      </c>
      <c r="B29" s="8" t="n">
        <v>45361</v>
      </c>
      <c r="C29" s="7" t="s">
        <v>101</v>
      </c>
      <c r="D29" s="7" t="s">
        <v>75</v>
      </c>
      <c r="E29" s="7" t="s">
        <v>36</v>
      </c>
      <c r="F29" s="7" t="s">
        <v>43</v>
      </c>
      <c r="G29" s="7" t="s">
        <v>66</v>
      </c>
      <c r="H29" s="7" t="n">
        <v>3</v>
      </c>
      <c r="I29" s="9" t="n">
        <v>0.2</v>
      </c>
      <c r="J29" s="10" t="n">
        <v>28800</v>
      </c>
      <c r="K29" s="11" t="n">
        <v>576</v>
      </c>
      <c r="L29" s="7" t="str">
        <f aca="false">TEXT(B29,"yyyy-mm")</f>
        <v>2024-03</v>
      </c>
    </row>
    <row r="30" customFormat="false" ht="15" hidden="false" customHeight="false" outlineLevel="0" collapsed="false">
      <c r="A30" s="7" t="s">
        <v>102</v>
      </c>
      <c r="B30" s="8" t="n">
        <v>45363</v>
      </c>
      <c r="C30" s="7" t="s">
        <v>79</v>
      </c>
      <c r="D30" s="7" t="s">
        <v>75</v>
      </c>
      <c r="E30" s="7" t="s">
        <v>36</v>
      </c>
      <c r="F30" s="7" t="s">
        <v>37</v>
      </c>
      <c r="G30" s="7" t="s">
        <v>72</v>
      </c>
      <c r="H30" s="7" t="n">
        <v>6</v>
      </c>
      <c r="I30" s="9" t="n">
        <v>0</v>
      </c>
      <c r="J30" s="10" t="n">
        <v>192000</v>
      </c>
      <c r="K30" s="11" t="n">
        <v>42240</v>
      </c>
      <c r="L30" s="7" t="str">
        <f aca="false">TEXT(B30,"yyyy-mm")</f>
        <v>2024-03</v>
      </c>
    </row>
    <row r="31" customFormat="false" ht="15" hidden="false" customHeight="false" outlineLevel="0" collapsed="false">
      <c r="A31" s="7" t="s">
        <v>103</v>
      </c>
      <c r="B31" s="8" t="n">
        <v>45366</v>
      </c>
      <c r="C31" s="7" t="s">
        <v>40</v>
      </c>
      <c r="D31" s="7" t="s">
        <v>41</v>
      </c>
      <c r="E31" s="7" t="s">
        <v>58</v>
      </c>
      <c r="F31" s="7" t="s">
        <v>43</v>
      </c>
      <c r="G31" s="7" t="s">
        <v>93</v>
      </c>
      <c r="H31" s="7" t="n">
        <v>5</v>
      </c>
      <c r="I31" s="9" t="n">
        <v>0.25</v>
      </c>
      <c r="J31" s="10" t="n">
        <v>5625</v>
      </c>
      <c r="K31" s="11" t="n">
        <v>-112.5</v>
      </c>
      <c r="L31" s="7" t="str">
        <f aca="false">TEXT(B31,"yyyy-mm")</f>
        <v>2024-03</v>
      </c>
    </row>
    <row r="32" customFormat="false" ht="15" hidden="false" customHeight="false" outlineLevel="0" collapsed="false">
      <c r="A32" s="7" t="s">
        <v>104</v>
      </c>
      <c r="B32" s="8" t="n">
        <v>45366</v>
      </c>
      <c r="C32" s="7" t="s">
        <v>105</v>
      </c>
      <c r="D32" s="7" t="s">
        <v>41</v>
      </c>
      <c r="E32" s="7" t="s">
        <v>54</v>
      </c>
      <c r="F32" s="7" t="s">
        <v>37</v>
      </c>
      <c r="G32" s="7" t="s">
        <v>63</v>
      </c>
      <c r="H32" s="7" t="n">
        <v>3</v>
      </c>
      <c r="I32" s="9" t="n">
        <v>0.15</v>
      </c>
      <c r="J32" s="10" t="n">
        <v>38250</v>
      </c>
      <c r="K32" s="11" t="n">
        <v>3825</v>
      </c>
      <c r="L32" s="7" t="str">
        <f aca="false">TEXT(B32,"yyyy-mm")</f>
        <v>2024-03</v>
      </c>
    </row>
    <row r="33" customFormat="false" ht="15" hidden="false" customHeight="false" outlineLevel="0" collapsed="false">
      <c r="A33" s="7" t="s">
        <v>106</v>
      </c>
      <c r="B33" s="8" t="n">
        <v>45370</v>
      </c>
      <c r="C33" s="7" t="s">
        <v>107</v>
      </c>
      <c r="D33" s="7" t="s">
        <v>75</v>
      </c>
      <c r="E33" s="7" t="s">
        <v>54</v>
      </c>
      <c r="F33" s="7" t="s">
        <v>47</v>
      </c>
      <c r="G33" s="7" t="s">
        <v>48</v>
      </c>
      <c r="H33" s="7" t="n">
        <v>7</v>
      </c>
      <c r="I33" s="9" t="n">
        <v>0.15</v>
      </c>
      <c r="J33" s="10" t="n">
        <v>892.5</v>
      </c>
      <c r="K33" s="11" t="n">
        <v>160.65</v>
      </c>
      <c r="L33" s="7" t="str">
        <f aca="false">TEXT(B33,"yyyy-mm")</f>
        <v>2024-03</v>
      </c>
    </row>
    <row r="34" customFormat="false" ht="15" hidden="false" customHeight="false" outlineLevel="0" collapsed="false">
      <c r="A34" s="7" t="s">
        <v>108</v>
      </c>
      <c r="B34" s="8" t="n">
        <v>45372</v>
      </c>
      <c r="C34" s="7" t="s">
        <v>50</v>
      </c>
      <c r="D34" s="7" t="s">
        <v>75</v>
      </c>
      <c r="E34" s="7" t="s">
        <v>36</v>
      </c>
      <c r="F34" s="7" t="s">
        <v>43</v>
      </c>
      <c r="G34" s="7" t="s">
        <v>66</v>
      </c>
      <c r="H34" s="7" t="n">
        <v>6</v>
      </c>
      <c r="I34" s="9" t="n">
        <v>0.15</v>
      </c>
      <c r="J34" s="10" t="n">
        <v>61200</v>
      </c>
      <c r="K34" s="11" t="n">
        <v>3672</v>
      </c>
      <c r="L34" s="7" t="str">
        <f aca="false">TEXT(B34,"yyyy-mm")</f>
        <v>2024-03</v>
      </c>
    </row>
    <row r="35" customFormat="false" ht="15" hidden="false" customHeight="false" outlineLevel="0" collapsed="false">
      <c r="A35" s="7" t="s">
        <v>109</v>
      </c>
      <c r="B35" s="8" t="n">
        <v>45372</v>
      </c>
      <c r="C35" s="7" t="s">
        <v>110</v>
      </c>
      <c r="D35" s="7" t="s">
        <v>35</v>
      </c>
      <c r="E35" s="7" t="s">
        <v>36</v>
      </c>
      <c r="F35" s="7" t="s">
        <v>37</v>
      </c>
      <c r="G35" s="7" t="s">
        <v>111</v>
      </c>
      <c r="H35" s="7" t="n">
        <v>8</v>
      </c>
      <c r="I35" s="9" t="n">
        <v>0.2</v>
      </c>
      <c r="J35" s="10" t="n">
        <v>11520</v>
      </c>
      <c r="K35" s="11" t="n">
        <v>691.2</v>
      </c>
      <c r="L35" s="7" t="str">
        <f aca="false">TEXT(B35,"yyyy-mm")</f>
        <v>2024-03</v>
      </c>
    </row>
    <row r="36" customFormat="false" ht="15" hidden="false" customHeight="false" outlineLevel="0" collapsed="false">
      <c r="A36" s="7" t="s">
        <v>112</v>
      </c>
      <c r="B36" s="8" t="n">
        <v>45380</v>
      </c>
      <c r="C36" s="7" t="s">
        <v>113</v>
      </c>
      <c r="D36" s="7" t="s">
        <v>35</v>
      </c>
      <c r="E36" s="7" t="s">
        <v>36</v>
      </c>
      <c r="F36" s="7" t="s">
        <v>47</v>
      </c>
      <c r="G36" s="7" t="s">
        <v>98</v>
      </c>
      <c r="H36" s="7" t="n">
        <v>3</v>
      </c>
      <c r="I36" s="9" t="n">
        <v>0</v>
      </c>
      <c r="J36" s="10" t="n">
        <v>1050</v>
      </c>
      <c r="K36" s="11" t="n">
        <v>315</v>
      </c>
      <c r="L36" s="7" t="str">
        <f aca="false">TEXT(B36,"yyyy-mm")</f>
        <v>2024-03</v>
      </c>
    </row>
    <row r="37" customFormat="false" ht="15" hidden="false" customHeight="false" outlineLevel="0" collapsed="false">
      <c r="A37" s="7" t="s">
        <v>114</v>
      </c>
      <c r="B37" s="8" t="n">
        <v>45390</v>
      </c>
      <c r="C37" s="7" t="s">
        <v>115</v>
      </c>
      <c r="D37" s="7" t="s">
        <v>41</v>
      </c>
      <c r="E37" s="7" t="s">
        <v>54</v>
      </c>
      <c r="F37" s="7" t="s">
        <v>43</v>
      </c>
      <c r="G37" s="7" t="s">
        <v>93</v>
      </c>
      <c r="H37" s="7" t="n">
        <v>7</v>
      </c>
      <c r="I37" s="9" t="n">
        <v>0.25</v>
      </c>
      <c r="J37" s="10" t="n">
        <v>7875</v>
      </c>
      <c r="K37" s="11" t="n">
        <v>-157.5</v>
      </c>
      <c r="L37" s="7" t="str">
        <f aca="false">TEXT(B37,"yyyy-mm")</f>
        <v>2024-04</v>
      </c>
    </row>
    <row r="38" customFormat="false" ht="15" hidden="false" customHeight="false" outlineLevel="0" collapsed="false">
      <c r="A38" s="7" t="s">
        <v>116</v>
      </c>
      <c r="B38" s="8" t="n">
        <v>45391</v>
      </c>
      <c r="C38" s="7" t="s">
        <v>74</v>
      </c>
      <c r="D38" s="7" t="s">
        <v>75</v>
      </c>
      <c r="E38" s="7" t="s">
        <v>36</v>
      </c>
      <c r="F38" s="7" t="s">
        <v>37</v>
      </c>
      <c r="G38" s="7" t="s">
        <v>72</v>
      </c>
      <c r="H38" s="7" t="n">
        <v>5</v>
      </c>
      <c r="I38" s="9" t="n">
        <v>0</v>
      </c>
      <c r="J38" s="10" t="n">
        <v>160000</v>
      </c>
      <c r="K38" s="11" t="n">
        <v>35200</v>
      </c>
      <c r="L38" s="7" t="str">
        <f aca="false">TEXT(B38,"yyyy-mm")</f>
        <v>2024-04</v>
      </c>
    </row>
    <row r="39" customFormat="false" ht="15" hidden="false" customHeight="false" outlineLevel="0" collapsed="false">
      <c r="A39" s="7" t="s">
        <v>117</v>
      </c>
      <c r="B39" s="8" t="n">
        <v>45395</v>
      </c>
      <c r="C39" s="7" t="s">
        <v>118</v>
      </c>
      <c r="D39" s="7" t="s">
        <v>41</v>
      </c>
      <c r="E39" s="7" t="s">
        <v>42</v>
      </c>
      <c r="F39" s="7" t="s">
        <v>47</v>
      </c>
      <c r="G39" s="7" t="s">
        <v>89</v>
      </c>
      <c r="H39" s="7" t="n">
        <v>5</v>
      </c>
      <c r="I39" s="9" t="n">
        <v>0</v>
      </c>
      <c r="J39" s="10" t="n">
        <v>1250</v>
      </c>
      <c r="K39" s="11" t="n">
        <v>375</v>
      </c>
      <c r="L39" s="7" t="str">
        <f aca="false">TEXT(B39,"yyyy-mm")</f>
        <v>2024-04</v>
      </c>
    </row>
    <row r="40" customFormat="false" ht="15" hidden="false" customHeight="false" outlineLevel="0" collapsed="false">
      <c r="A40" s="7" t="s">
        <v>119</v>
      </c>
      <c r="B40" s="8" t="n">
        <v>45399</v>
      </c>
      <c r="C40" s="7" t="s">
        <v>65</v>
      </c>
      <c r="D40" s="7" t="s">
        <v>75</v>
      </c>
      <c r="E40" s="7" t="s">
        <v>54</v>
      </c>
      <c r="F40" s="7" t="s">
        <v>37</v>
      </c>
      <c r="G40" s="7" t="s">
        <v>72</v>
      </c>
      <c r="H40" s="7" t="n">
        <v>6</v>
      </c>
      <c r="I40" s="9" t="n">
        <v>0.1</v>
      </c>
      <c r="J40" s="10" t="n">
        <v>172800</v>
      </c>
      <c r="K40" s="11" t="n">
        <v>24192</v>
      </c>
      <c r="L40" s="7" t="str">
        <f aca="false">TEXT(B40,"yyyy-mm")</f>
        <v>2024-04</v>
      </c>
    </row>
    <row r="41" customFormat="false" ht="15" hidden="false" customHeight="false" outlineLevel="0" collapsed="false">
      <c r="A41" s="7" t="s">
        <v>120</v>
      </c>
      <c r="B41" s="8" t="n">
        <v>45412</v>
      </c>
      <c r="C41" s="7" t="s">
        <v>121</v>
      </c>
      <c r="D41" s="7" t="s">
        <v>41</v>
      </c>
      <c r="E41" s="7" t="s">
        <v>54</v>
      </c>
      <c r="F41" s="7" t="s">
        <v>37</v>
      </c>
      <c r="G41" s="7" t="s">
        <v>38</v>
      </c>
      <c r="H41" s="7" t="n">
        <v>6</v>
      </c>
      <c r="I41" s="9" t="n">
        <v>0.15</v>
      </c>
      <c r="J41" s="10" t="n">
        <v>30600</v>
      </c>
      <c r="K41" s="11" t="n">
        <v>3060</v>
      </c>
      <c r="L41" s="7" t="str">
        <f aca="false">TEXT(B41,"yyyy-mm")</f>
        <v>2024-04</v>
      </c>
    </row>
    <row r="42" customFormat="false" ht="15" hidden="false" customHeight="false" outlineLevel="0" collapsed="false">
      <c r="A42" s="7" t="s">
        <v>122</v>
      </c>
      <c r="B42" s="8" t="n">
        <v>45413</v>
      </c>
      <c r="C42" s="7" t="s">
        <v>65</v>
      </c>
      <c r="D42" s="7" t="s">
        <v>35</v>
      </c>
      <c r="E42" s="7" t="s">
        <v>42</v>
      </c>
      <c r="F42" s="7" t="s">
        <v>43</v>
      </c>
      <c r="G42" s="7" t="s">
        <v>44</v>
      </c>
      <c r="H42" s="7" t="n">
        <v>7</v>
      </c>
      <c r="I42" s="9" t="n">
        <v>0</v>
      </c>
      <c r="J42" s="10" t="n">
        <v>196000</v>
      </c>
      <c r="K42" s="11" t="n">
        <v>35280</v>
      </c>
      <c r="L42" s="7" t="str">
        <f aca="false">TEXT(B42,"yyyy-mm")</f>
        <v>2024-05</v>
      </c>
    </row>
    <row r="43" customFormat="false" ht="15" hidden="false" customHeight="false" outlineLevel="0" collapsed="false">
      <c r="A43" s="7" t="s">
        <v>123</v>
      </c>
      <c r="B43" s="8" t="n">
        <v>45413</v>
      </c>
      <c r="C43" s="7" t="s">
        <v>79</v>
      </c>
      <c r="D43" s="7" t="s">
        <v>35</v>
      </c>
      <c r="E43" s="7" t="s">
        <v>58</v>
      </c>
      <c r="F43" s="7" t="s">
        <v>37</v>
      </c>
      <c r="G43" s="7" t="s">
        <v>55</v>
      </c>
      <c r="H43" s="7" t="n">
        <v>1</v>
      </c>
      <c r="I43" s="9" t="n">
        <v>0</v>
      </c>
      <c r="J43" s="10" t="n">
        <v>8000</v>
      </c>
      <c r="K43" s="11" t="n">
        <v>1760</v>
      </c>
      <c r="L43" s="7" t="str">
        <f aca="false">TEXT(B43,"yyyy-mm")</f>
        <v>2024-05</v>
      </c>
    </row>
    <row r="44" customFormat="false" ht="15" hidden="false" customHeight="false" outlineLevel="0" collapsed="false">
      <c r="A44" s="7" t="s">
        <v>124</v>
      </c>
      <c r="B44" s="8" t="n">
        <v>45415</v>
      </c>
      <c r="C44" s="7" t="s">
        <v>97</v>
      </c>
      <c r="D44" s="7" t="s">
        <v>41</v>
      </c>
      <c r="E44" s="7" t="s">
        <v>54</v>
      </c>
      <c r="F44" s="7" t="s">
        <v>47</v>
      </c>
      <c r="G44" s="7" t="s">
        <v>48</v>
      </c>
      <c r="H44" s="7" t="n">
        <v>5</v>
      </c>
      <c r="I44" s="9" t="n">
        <v>0.1</v>
      </c>
      <c r="J44" s="10" t="n">
        <v>675</v>
      </c>
      <c r="K44" s="11" t="n">
        <v>148.5</v>
      </c>
      <c r="L44" s="7" t="str">
        <f aca="false">TEXT(B44,"yyyy-mm")</f>
        <v>2024-05</v>
      </c>
    </row>
    <row r="45" customFormat="false" ht="15" hidden="false" customHeight="false" outlineLevel="0" collapsed="false">
      <c r="A45" s="7" t="s">
        <v>125</v>
      </c>
      <c r="B45" s="8" t="n">
        <v>45415</v>
      </c>
      <c r="C45" s="7" t="s">
        <v>79</v>
      </c>
      <c r="D45" s="7" t="s">
        <v>75</v>
      </c>
      <c r="E45" s="7" t="s">
        <v>54</v>
      </c>
      <c r="F45" s="7" t="s">
        <v>43</v>
      </c>
      <c r="G45" s="7" t="s">
        <v>93</v>
      </c>
      <c r="H45" s="7" t="n">
        <v>6</v>
      </c>
      <c r="I45" s="9" t="n">
        <v>0</v>
      </c>
      <c r="J45" s="10" t="n">
        <v>9000</v>
      </c>
      <c r="K45" s="11" t="n">
        <v>1620</v>
      </c>
      <c r="L45" s="7" t="str">
        <f aca="false">TEXT(B45,"yyyy-mm")</f>
        <v>2024-05</v>
      </c>
    </row>
    <row r="46" customFormat="false" ht="15" hidden="false" customHeight="false" outlineLevel="0" collapsed="false">
      <c r="A46" s="7" t="s">
        <v>126</v>
      </c>
      <c r="B46" s="8" t="n">
        <v>45420</v>
      </c>
      <c r="C46" s="7" t="s">
        <v>87</v>
      </c>
      <c r="D46" s="7" t="s">
        <v>35</v>
      </c>
      <c r="E46" s="7" t="s">
        <v>42</v>
      </c>
      <c r="F46" s="7" t="s">
        <v>43</v>
      </c>
      <c r="G46" s="7" t="s">
        <v>59</v>
      </c>
      <c r="H46" s="7" t="n">
        <v>7</v>
      </c>
      <c r="I46" s="9" t="n">
        <v>0.25</v>
      </c>
      <c r="J46" s="10" t="n">
        <v>288750</v>
      </c>
      <c r="K46" s="11" t="n">
        <v>-5775</v>
      </c>
      <c r="L46" s="7" t="str">
        <f aca="false">TEXT(B46,"yyyy-mm")</f>
        <v>2024-05</v>
      </c>
    </row>
    <row r="47" customFormat="false" ht="15" hidden="false" customHeight="false" outlineLevel="0" collapsed="false">
      <c r="A47" s="7" t="s">
        <v>127</v>
      </c>
      <c r="B47" s="8" t="n">
        <v>45425</v>
      </c>
      <c r="C47" s="7" t="s">
        <v>79</v>
      </c>
      <c r="D47" s="7" t="s">
        <v>41</v>
      </c>
      <c r="E47" s="7" t="s">
        <v>58</v>
      </c>
      <c r="F47" s="7" t="s">
        <v>47</v>
      </c>
      <c r="G47" s="7" t="s">
        <v>128</v>
      </c>
      <c r="H47" s="7" t="n">
        <v>4</v>
      </c>
      <c r="I47" s="9" t="n">
        <v>0.15</v>
      </c>
      <c r="J47" s="10" t="n">
        <v>408</v>
      </c>
      <c r="K47" s="11" t="n">
        <v>73.44</v>
      </c>
      <c r="L47" s="7" t="str">
        <f aca="false">TEXT(B47,"yyyy-mm")</f>
        <v>2024-05</v>
      </c>
    </row>
    <row r="48" customFormat="false" ht="15" hidden="false" customHeight="false" outlineLevel="0" collapsed="false">
      <c r="A48" s="7" t="s">
        <v>129</v>
      </c>
      <c r="B48" s="8" t="n">
        <v>45427</v>
      </c>
      <c r="C48" s="7" t="s">
        <v>65</v>
      </c>
      <c r="D48" s="7" t="s">
        <v>75</v>
      </c>
      <c r="E48" s="7" t="s">
        <v>54</v>
      </c>
      <c r="F48" s="7" t="s">
        <v>37</v>
      </c>
      <c r="G48" s="7" t="s">
        <v>72</v>
      </c>
      <c r="H48" s="7" t="n">
        <v>7</v>
      </c>
      <c r="I48" s="9" t="n">
        <v>0.2</v>
      </c>
      <c r="J48" s="10" t="n">
        <v>179200</v>
      </c>
      <c r="K48" s="11" t="n">
        <v>10752</v>
      </c>
      <c r="L48" s="7" t="str">
        <f aca="false">TEXT(B48,"yyyy-mm")</f>
        <v>2024-05</v>
      </c>
    </row>
    <row r="49" customFormat="false" ht="15" hidden="false" customHeight="false" outlineLevel="0" collapsed="false">
      <c r="A49" s="7" t="s">
        <v>130</v>
      </c>
      <c r="B49" s="8" t="n">
        <v>45427</v>
      </c>
      <c r="C49" s="7" t="s">
        <v>131</v>
      </c>
      <c r="D49" s="7" t="s">
        <v>41</v>
      </c>
      <c r="E49" s="7" t="s">
        <v>54</v>
      </c>
      <c r="F49" s="7" t="s">
        <v>47</v>
      </c>
      <c r="G49" s="7" t="s">
        <v>69</v>
      </c>
      <c r="H49" s="7" t="n">
        <v>4</v>
      </c>
      <c r="I49" s="9" t="n">
        <v>0.2</v>
      </c>
      <c r="J49" s="10" t="n">
        <v>640</v>
      </c>
      <c r="K49" s="11" t="n">
        <v>89.6</v>
      </c>
      <c r="L49" s="7" t="str">
        <f aca="false">TEXT(B49,"yyyy-mm")</f>
        <v>2024-05</v>
      </c>
    </row>
    <row r="50" customFormat="false" ht="15" hidden="false" customHeight="false" outlineLevel="0" collapsed="false">
      <c r="A50" s="7" t="s">
        <v>132</v>
      </c>
      <c r="B50" s="8" t="n">
        <v>45428</v>
      </c>
      <c r="C50" s="7" t="s">
        <v>131</v>
      </c>
      <c r="D50" s="7" t="s">
        <v>41</v>
      </c>
      <c r="E50" s="7" t="s">
        <v>42</v>
      </c>
      <c r="F50" s="7" t="s">
        <v>43</v>
      </c>
      <c r="G50" s="7" t="s">
        <v>59</v>
      </c>
      <c r="H50" s="7" t="n">
        <v>7</v>
      </c>
      <c r="I50" s="9" t="n">
        <v>0.25</v>
      </c>
      <c r="J50" s="10" t="n">
        <v>288750</v>
      </c>
      <c r="K50" s="11" t="n">
        <v>-5775</v>
      </c>
      <c r="L50" s="7" t="str">
        <f aca="false">TEXT(B50,"yyyy-mm")</f>
        <v>2024-05</v>
      </c>
    </row>
    <row r="51" customFormat="false" ht="15" hidden="false" customHeight="false" outlineLevel="0" collapsed="false">
      <c r="A51" s="7" t="s">
        <v>133</v>
      </c>
      <c r="B51" s="8" t="n">
        <v>45431</v>
      </c>
      <c r="C51" s="7" t="s">
        <v>134</v>
      </c>
      <c r="D51" s="7" t="s">
        <v>75</v>
      </c>
      <c r="E51" s="7" t="s">
        <v>54</v>
      </c>
      <c r="F51" s="7" t="s">
        <v>37</v>
      </c>
      <c r="G51" s="7" t="s">
        <v>72</v>
      </c>
      <c r="H51" s="7" t="n">
        <v>4</v>
      </c>
      <c r="I51" s="9" t="n">
        <v>0.2</v>
      </c>
      <c r="J51" s="10" t="n">
        <v>102400</v>
      </c>
      <c r="K51" s="11" t="n">
        <v>6144</v>
      </c>
      <c r="L51" s="7" t="str">
        <f aca="false">TEXT(B51,"yyyy-mm")</f>
        <v>2024-05</v>
      </c>
    </row>
    <row r="52" customFormat="false" ht="15" hidden="false" customHeight="false" outlineLevel="0" collapsed="false">
      <c r="A52" s="7" t="s">
        <v>135</v>
      </c>
      <c r="B52" s="8" t="n">
        <v>45434</v>
      </c>
      <c r="C52" s="7" t="s">
        <v>34</v>
      </c>
      <c r="D52" s="7" t="s">
        <v>35</v>
      </c>
      <c r="E52" s="7" t="s">
        <v>58</v>
      </c>
      <c r="F52" s="7" t="s">
        <v>43</v>
      </c>
      <c r="G52" s="7" t="s">
        <v>51</v>
      </c>
      <c r="H52" s="7" t="n">
        <v>6</v>
      </c>
      <c r="I52" s="9" t="n">
        <v>0.2</v>
      </c>
      <c r="J52" s="10" t="n">
        <v>16800</v>
      </c>
      <c r="K52" s="11" t="n">
        <v>336</v>
      </c>
      <c r="L52" s="7" t="str">
        <f aca="false">TEXT(B52,"yyyy-mm")</f>
        <v>2024-05</v>
      </c>
    </row>
    <row r="53" customFormat="false" ht="15" hidden="false" customHeight="false" outlineLevel="0" collapsed="false">
      <c r="A53" s="7" t="s">
        <v>136</v>
      </c>
      <c r="B53" s="8" t="n">
        <v>45435</v>
      </c>
      <c r="C53" s="7" t="s">
        <v>137</v>
      </c>
      <c r="D53" s="7" t="s">
        <v>35</v>
      </c>
      <c r="E53" s="7" t="s">
        <v>58</v>
      </c>
      <c r="F53" s="7" t="s">
        <v>43</v>
      </c>
      <c r="G53" s="7" t="s">
        <v>51</v>
      </c>
      <c r="H53" s="7" t="n">
        <v>4</v>
      </c>
      <c r="I53" s="9" t="n">
        <v>0.1</v>
      </c>
      <c r="J53" s="10" t="n">
        <v>12600</v>
      </c>
      <c r="K53" s="11" t="n">
        <v>1260</v>
      </c>
      <c r="L53" s="7" t="str">
        <f aca="false">TEXT(B53,"yyyy-mm")</f>
        <v>2024-05</v>
      </c>
    </row>
    <row r="54" customFormat="false" ht="15" hidden="false" customHeight="false" outlineLevel="0" collapsed="false">
      <c r="A54" s="7" t="s">
        <v>138</v>
      </c>
      <c r="B54" s="8" t="n">
        <v>45437</v>
      </c>
      <c r="C54" s="7" t="s">
        <v>121</v>
      </c>
      <c r="D54" s="7" t="s">
        <v>35</v>
      </c>
      <c r="E54" s="7" t="s">
        <v>36</v>
      </c>
      <c r="F54" s="7" t="s">
        <v>37</v>
      </c>
      <c r="G54" s="7" t="s">
        <v>72</v>
      </c>
      <c r="H54" s="7" t="n">
        <v>3</v>
      </c>
      <c r="I54" s="9" t="n">
        <v>0.05</v>
      </c>
      <c r="J54" s="10" t="n">
        <v>91200</v>
      </c>
      <c r="K54" s="11" t="n">
        <v>16416</v>
      </c>
      <c r="L54" s="7" t="str">
        <f aca="false">TEXT(B54,"yyyy-mm")</f>
        <v>2024-05</v>
      </c>
    </row>
    <row r="55" customFormat="false" ht="15" hidden="false" customHeight="false" outlineLevel="0" collapsed="false">
      <c r="A55" s="7" t="s">
        <v>139</v>
      </c>
      <c r="B55" s="8" t="n">
        <v>45438</v>
      </c>
      <c r="C55" s="7" t="s">
        <v>134</v>
      </c>
      <c r="D55" s="7" t="s">
        <v>75</v>
      </c>
      <c r="E55" s="7" t="s">
        <v>36</v>
      </c>
      <c r="F55" s="7" t="s">
        <v>47</v>
      </c>
      <c r="G55" s="7" t="s">
        <v>98</v>
      </c>
      <c r="H55" s="7" t="n">
        <v>2</v>
      </c>
      <c r="I55" s="9" t="n">
        <v>0.1</v>
      </c>
      <c r="J55" s="10" t="n">
        <v>630</v>
      </c>
      <c r="K55" s="11" t="n">
        <v>138.6</v>
      </c>
      <c r="L55" s="7" t="str">
        <f aca="false">TEXT(B55,"yyyy-mm")</f>
        <v>2024-05</v>
      </c>
    </row>
    <row r="56" customFormat="false" ht="15" hidden="false" customHeight="false" outlineLevel="0" collapsed="false">
      <c r="A56" s="7" t="s">
        <v>140</v>
      </c>
      <c r="B56" s="8" t="n">
        <v>45452</v>
      </c>
      <c r="C56" s="7" t="s">
        <v>95</v>
      </c>
      <c r="D56" s="7" t="s">
        <v>75</v>
      </c>
      <c r="E56" s="7" t="s">
        <v>58</v>
      </c>
      <c r="F56" s="7" t="s">
        <v>47</v>
      </c>
      <c r="G56" s="7" t="s">
        <v>89</v>
      </c>
      <c r="H56" s="7" t="n">
        <v>6</v>
      </c>
      <c r="I56" s="9" t="n">
        <v>0.1</v>
      </c>
      <c r="J56" s="10" t="n">
        <v>1350</v>
      </c>
      <c r="K56" s="11" t="n">
        <v>297</v>
      </c>
      <c r="L56" s="7" t="str">
        <f aca="false">TEXT(B56,"yyyy-mm")</f>
        <v>2024-06</v>
      </c>
    </row>
    <row r="57" customFormat="false" ht="15" hidden="false" customHeight="false" outlineLevel="0" collapsed="false">
      <c r="A57" s="7" t="s">
        <v>141</v>
      </c>
      <c r="B57" s="8" t="n">
        <v>45453</v>
      </c>
      <c r="C57" s="7" t="s">
        <v>131</v>
      </c>
      <c r="D57" s="7" t="s">
        <v>35</v>
      </c>
      <c r="E57" s="7" t="s">
        <v>36</v>
      </c>
      <c r="F57" s="7" t="s">
        <v>43</v>
      </c>
      <c r="G57" s="7" t="s">
        <v>93</v>
      </c>
      <c r="H57" s="7" t="n">
        <v>3</v>
      </c>
      <c r="I57" s="9" t="n">
        <v>0</v>
      </c>
      <c r="J57" s="10" t="n">
        <v>4500</v>
      </c>
      <c r="K57" s="11" t="n">
        <v>810</v>
      </c>
      <c r="L57" s="7" t="str">
        <f aca="false">TEXT(B57,"yyyy-mm")</f>
        <v>2024-06</v>
      </c>
    </row>
    <row r="58" customFormat="false" ht="15" hidden="false" customHeight="false" outlineLevel="0" collapsed="false">
      <c r="A58" s="7" t="s">
        <v>142</v>
      </c>
      <c r="B58" s="8" t="n">
        <v>45453</v>
      </c>
      <c r="C58" s="7" t="s">
        <v>143</v>
      </c>
      <c r="D58" s="7" t="s">
        <v>35</v>
      </c>
      <c r="E58" s="7" t="s">
        <v>58</v>
      </c>
      <c r="F58" s="7" t="s">
        <v>43</v>
      </c>
      <c r="G58" s="7" t="s">
        <v>66</v>
      </c>
      <c r="H58" s="7" t="n">
        <v>2</v>
      </c>
      <c r="I58" s="9" t="n">
        <v>0.1</v>
      </c>
      <c r="J58" s="10" t="n">
        <v>21600</v>
      </c>
      <c r="K58" s="11" t="n">
        <v>2160</v>
      </c>
      <c r="L58" s="7" t="str">
        <f aca="false">TEXT(B58,"yyyy-mm")</f>
        <v>2024-06</v>
      </c>
    </row>
    <row r="59" customFormat="false" ht="15" hidden="false" customHeight="false" outlineLevel="0" collapsed="false">
      <c r="A59" s="7" t="s">
        <v>144</v>
      </c>
      <c r="B59" s="8" t="n">
        <v>45454</v>
      </c>
      <c r="C59" s="7" t="s">
        <v>110</v>
      </c>
      <c r="D59" s="7" t="s">
        <v>41</v>
      </c>
      <c r="E59" s="7" t="s">
        <v>58</v>
      </c>
      <c r="F59" s="7" t="s">
        <v>47</v>
      </c>
      <c r="G59" s="7" t="s">
        <v>128</v>
      </c>
      <c r="H59" s="7" t="n">
        <v>1</v>
      </c>
      <c r="I59" s="9" t="n">
        <v>0.15</v>
      </c>
      <c r="J59" s="10" t="n">
        <v>102</v>
      </c>
      <c r="K59" s="11" t="n">
        <v>18.36</v>
      </c>
      <c r="L59" s="7" t="str">
        <f aca="false">TEXT(B59,"yyyy-mm")</f>
        <v>2024-06</v>
      </c>
    </row>
    <row r="60" customFormat="false" ht="15" hidden="false" customHeight="false" outlineLevel="0" collapsed="false">
      <c r="A60" s="7" t="s">
        <v>145</v>
      </c>
      <c r="B60" s="8" t="n">
        <v>45454</v>
      </c>
      <c r="C60" s="7" t="s">
        <v>34</v>
      </c>
      <c r="D60" s="7" t="s">
        <v>35</v>
      </c>
      <c r="E60" s="7" t="s">
        <v>54</v>
      </c>
      <c r="F60" s="7" t="s">
        <v>37</v>
      </c>
      <c r="G60" s="7" t="s">
        <v>38</v>
      </c>
      <c r="H60" s="7" t="n">
        <v>5</v>
      </c>
      <c r="I60" s="9" t="n">
        <v>0.05</v>
      </c>
      <c r="J60" s="10" t="n">
        <v>28500</v>
      </c>
      <c r="K60" s="11" t="n">
        <v>5130</v>
      </c>
      <c r="L60" s="7" t="str">
        <f aca="false">TEXT(B60,"yyyy-mm")</f>
        <v>2024-06</v>
      </c>
    </row>
    <row r="61" customFormat="false" ht="15" hidden="false" customHeight="false" outlineLevel="0" collapsed="false">
      <c r="A61" s="7" t="s">
        <v>146</v>
      </c>
      <c r="B61" s="8" t="n">
        <v>45455</v>
      </c>
      <c r="C61" s="7" t="s">
        <v>121</v>
      </c>
      <c r="D61" s="7" t="s">
        <v>41</v>
      </c>
      <c r="E61" s="7" t="s">
        <v>58</v>
      </c>
      <c r="F61" s="7" t="s">
        <v>43</v>
      </c>
      <c r="G61" s="7" t="s">
        <v>66</v>
      </c>
      <c r="H61" s="7" t="n">
        <v>2</v>
      </c>
      <c r="I61" s="9" t="n">
        <v>0.05</v>
      </c>
      <c r="J61" s="10" t="n">
        <v>22800</v>
      </c>
      <c r="K61" s="11" t="n">
        <v>3192</v>
      </c>
      <c r="L61" s="7" t="str">
        <f aca="false">TEXT(B61,"yyyy-mm")</f>
        <v>2024-06</v>
      </c>
    </row>
    <row r="62" customFormat="false" ht="15" hidden="false" customHeight="false" outlineLevel="0" collapsed="false">
      <c r="A62" s="7" t="s">
        <v>147</v>
      </c>
      <c r="B62" s="8" t="n">
        <v>45461</v>
      </c>
      <c r="C62" s="7" t="s">
        <v>40</v>
      </c>
      <c r="D62" s="7" t="s">
        <v>75</v>
      </c>
      <c r="E62" s="7" t="s">
        <v>54</v>
      </c>
      <c r="F62" s="7" t="s">
        <v>47</v>
      </c>
      <c r="G62" s="7" t="s">
        <v>98</v>
      </c>
      <c r="H62" s="7" t="n">
        <v>7</v>
      </c>
      <c r="I62" s="9" t="n">
        <v>0.15</v>
      </c>
      <c r="J62" s="10" t="n">
        <v>2082.5</v>
      </c>
      <c r="K62" s="11" t="n">
        <v>374.85</v>
      </c>
      <c r="L62" s="7" t="str">
        <f aca="false">TEXT(B62,"yyyy-mm")</f>
        <v>2024-06</v>
      </c>
    </row>
    <row r="63" customFormat="false" ht="15" hidden="false" customHeight="false" outlineLevel="0" collapsed="false">
      <c r="A63" s="7" t="s">
        <v>148</v>
      </c>
      <c r="B63" s="8" t="n">
        <v>45467</v>
      </c>
      <c r="C63" s="7" t="s">
        <v>74</v>
      </c>
      <c r="D63" s="7" t="s">
        <v>35</v>
      </c>
      <c r="E63" s="7" t="s">
        <v>42</v>
      </c>
      <c r="F63" s="7" t="s">
        <v>47</v>
      </c>
      <c r="G63" s="7" t="s">
        <v>98</v>
      </c>
      <c r="H63" s="7" t="n">
        <v>3</v>
      </c>
      <c r="I63" s="9" t="n">
        <v>0</v>
      </c>
      <c r="J63" s="10" t="n">
        <v>1050</v>
      </c>
      <c r="K63" s="11" t="n">
        <v>315</v>
      </c>
      <c r="L63" s="7" t="str">
        <f aca="false">TEXT(B63,"yyyy-mm")</f>
        <v>2024-06</v>
      </c>
    </row>
    <row r="64" customFormat="false" ht="15" hidden="false" customHeight="false" outlineLevel="0" collapsed="false">
      <c r="A64" s="7" t="s">
        <v>149</v>
      </c>
      <c r="B64" s="8" t="n">
        <v>45467</v>
      </c>
      <c r="C64" s="7" t="s">
        <v>137</v>
      </c>
      <c r="D64" s="7" t="s">
        <v>35</v>
      </c>
      <c r="E64" s="7" t="s">
        <v>36</v>
      </c>
      <c r="F64" s="7" t="s">
        <v>47</v>
      </c>
      <c r="G64" s="7" t="s">
        <v>89</v>
      </c>
      <c r="H64" s="7" t="n">
        <v>5</v>
      </c>
      <c r="I64" s="9" t="n">
        <v>0.15</v>
      </c>
      <c r="J64" s="10" t="n">
        <v>1062.5</v>
      </c>
      <c r="K64" s="11" t="n">
        <v>191.25</v>
      </c>
      <c r="L64" s="7" t="str">
        <f aca="false">TEXT(B64,"yyyy-mm")</f>
        <v>2024-06</v>
      </c>
    </row>
    <row r="65" customFormat="false" ht="15" hidden="false" customHeight="false" outlineLevel="0" collapsed="false">
      <c r="A65" s="7" t="s">
        <v>150</v>
      </c>
      <c r="B65" s="8" t="n">
        <v>45469</v>
      </c>
      <c r="C65" s="7" t="s">
        <v>65</v>
      </c>
      <c r="D65" s="7" t="s">
        <v>41</v>
      </c>
      <c r="E65" s="7" t="s">
        <v>54</v>
      </c>
      <c r="F65" s="7" t="s">
        <v>47</v>
      </c>
      <c r="G65" s="7" t="s">
        <v>128</v>
      </c>
      <c r="H65" s="7" t="n">
        <v>6</v>
      </c>
      <c r="I65" s="9" t="n">
        <v>0</v>
      </c>
      <c r="J65" s="10" t="n">
        <v>720</v>
      </c>
      <c r="K65" s="11" t="n">
        <v>216</v>
      </c>
      <c r="L65" s="7" t="str">
        <f aca="false">TEXT(B65,"yyyy-mm")</f>
        <v>2024-06</v>
      </c>
    </row>
    <row r="66" customFormat="false" ht="15" hidden="false" customHeight="false" outlineLevel="0" collapsed="false">
      <c r="A66" s="7" t="s">
        <v>151</v>
      </c>
      <c r="B66" s="8" t="n">
        <v>45472</v>
      </c>
      <c r="C66" s="7" t="s">
        <v>152</v>
      </c>
      <c r="D66" s="7" t="s">
        <v>35</v>
      </c>
      <c r="E66" s="7" t="s">
        <v>36</v>
      </c>
      <c r="F66" s="7" t="s">
        <v>47</v>
      </c>
      <c r="G66" s="7" t="s">
        <v>98</v>
      </c>
      <c r="H66" s="7" t="n">
        <v>5</v>
      </c>
      <c r="I66" s="9" t="n">
        <v>0.1</v>
      </c>
      <c r="J66" s="10" t="n">
        <v>1575</v>
      </c>
      <c r="K66" s="11" t="n">
        <v>346.5</v>
      </c>
      <c r="L66" s="7" t="str">
        <f aca="false">TEXT(B66,"yyyy-mm")</f>
        <v>2024-06</v>
      </c>
    </row>
    <row r="67" customFormat="false" ht="15" hidden="false" customHeight="false" outlineLevel="0" collapsed="false">
      <c r="A67" s="7" t="s">
        <v>153</v>
      </c>
      <c r="B67" s="8" t="n">
        <v>45475</v>
      </c>
      <c r="C67" s="7" t="s">
        <v>152</v>
      </c>
      <c r="D67" s="7" t="s">
        <v>41</v>
      </c>
      <c r="E67" s="7" t="s">
        <v>54</v>
      </c>
      <c r="F67" s="7" t="s">
        <v>43</v>
      </c>
      <c r="G67" s="7" t="s">
        <v>93</v>
      </c>
      <c r="H67" s="7" t="n">
        <v>6</v>
      </c>
      <c r="I67" s="9" t="n">
        <v>0</v>
      </c>
      <c r="J67" s="10" t="n">
        <v>9000</v>
      </c>
      <c r="K67" s="11" t="n">
        <v>1620</v>
      </c>
      <c r="L67" s="7" t="str">
        <f aca="false">TEXT(B67,"yyyy-mm")</f>
        <v>2024-07</v>
      </c>
    </row>
    <row r="68" customFormat="false" ht="15" hidden="false" customHeight="false" outlineLevel="0" collapsed="false">
      <c r="A68" s="7" t="s">
        <v>154</v>
      </c>
      <c r="B68" s="8" t="n">
        <v>45481</v>
      </c>
      <c r="C68" s="7" t="s">
        <v>143</v>
      </c>
      <c r="D68" s="7" t="s">
        <v>75</v>
      </c>
      <c r="E68" s="7" t="s">
        <v>58</v>
      </c>
      <c r="F68" s="7" t="s">
        <v>37</v>
      </c>
      <c r="G68" s="7" t="s">
        <v>63</v>
      </c>
      <c r="H68" s="7" t="n">
        <v>8</v>
      </c>
      <c r="I68" s="9" t="n">
        <v>0.25</v>
      </c>
      <c r="J68" s="10" t="n">
        <v>90000</v>
      </c>
      <c r="K68" s="11" t="n">
        <v>1800</v>
      </c>
      <c r="L68" s="7" t="str">
        <f aca="false">TEXT(B68,"yyyy-mm")</f>
        <v>2024-07</v>
      </c>
    </row>
    <row r="69" customFormat="false" ht="15" hidden="false" customHeight="false" outlineLevel="0" collapsed="false">
      <c r="A69" s="7" t="s">
        <v>155</v>
      </c>
      <c r="B69" s="8" t="n">
        <v>45484</v>
      </c>
      <c r="C69" s="7" t="s">
        <v>115</v>
      </c>
      <c r="D69" s="7" t="s">
        <v>75</v>
      </c>
      <c r="E69" s="7" t="s">
        <v>58</v>
      </c>
      <c r="F69" s="7" t="s">
        <v>37</v>
      </c>
      <c r="G69" s="7" t="s">
        <v>111</v>
      </c>
      <c r="H69" s="7" t="n">
        <v>6</v>
      </c>
      <c r="I69" s="9" t="n">
        <v>0</v>
      </c>
      <c r="J69" s="10" t="n">
        <v>10800</v>
      </c>
      <c r="K69" s="11" t="n">
        <v>2376</v>
      </c>
      <c r="L69" s="7" t="str">
        <f aca="false">TEXT(B69,"yyyy-mm")</f>
        <v>2024-07</v>
      </c>
    </row>
    <row r="70" customFormat="false" ht="15" hidden="false" customHeight="false" outlineLevel="0" collapsed="false">
      <c r="A70" s="7" t="s">
        <v>156</v>
      </c>
      <c r="B70" s="8" t="n">
        <v>45487</v>
      </c>
      <c r="C70" s="7" t="s">
        <v>118</v>
      </c>
      <c r="D70" s="7" t="s">
        <v>35</v>
      </c>
      <c r="E70" s="7" t="s">
        <v>58</v>
      </c>
      <c r="F70" s="7" t="s">
        <v>37</v>
      </c>
      <c r="G70" s="7" t="s">
        <v>63</v>
      </c>
      <c r="H70" s="7" t="n">
        <v>8</v>
      </c>
      <c r="I70" s="9" t="n">
        <v>0</v>
      </c>
      <c r="J70" s="10" t="n">
        <v>120000</v>
      </c>
      <c r="K70" s="11" t="n">
        <v>26400</v>
      </c>
      <c r="L70" s="7" t="str">
        <f aca="false">TEXT(B70,"yyyy-mm")</f>
        <v>2024-07</v>
      </c>
    </row>
    <row r="71" customFormat="false" ht="15" hidden="false" customHeight="false" outlineLevel="0" collapsed="false">
      <c r="A71" s="7" t="s">
        <v>157</v>
      </c>
      <c r="B71" s="8" t="n">
        <v>45487</v>
      </c>
      <c r="C71" s="7" t="s">
        <v>50</v>
      </c>
      <c r="D71" s="7" t="s">
        <v>41</v>
      </c>
      <c r="E71" s="7" t="s">
        <v>58</v>
      </c>
      <c r="F71" s="7" t="s">
        <v>47</v>
      </c>
      <c r="G71" s="7" t="s">
        <v>69</v>
      </c>
      <c r="H71" s="7" t="n">
        <v>5</v>
      </c>
      <c r="I71" s="9" t="n">
        <v>0.1</v>
      </c>
      <c r="J71" s="10" t="n">
        <v>900</v>
      </c>
      <c r="K71" s="11" t="n">
        <v>198</v>
      </c>
      <c r="L71" s="7" t="str">
        <f aca="false">TEXT(B71,"yyyy-mm")</f>
        <v>2024-07</v>
      </c>
    </row>
    <row r="72" customFormat="false" ht="15" hidden="false" customHeight="false" outlineLevel="0" collapsed="false">
      <c r="A72" s="7" t="s">
        <v>158</v>
      </c>
      <c r="B72" s="8" t="n">
        <v>45488</v>
      </c>
      <c r="C72" s="7" t="s">
        <v>57</v>
      </c>
      <c r="D72" s="7" t="s">
        <v>41</v>
      </c>
      <c r="E72" s="7" t="s">
        <v>36</v>
      </c>
      <c r="F72" s="7" t="s">
        <v>43</v>
      </c>
      <c r="G72" s="7" t="s">
        <v>66</v>
      </c>
      <c r="H72" s="7" t="n">
        <v>5</v>
      </c>
      <c r="I72" s="9" t="n">
        <v>0.05</v>
      </c>
      <c r="J72" s="10" t="n">
        <v>57000</v>
      </c>
      <c r="K72" s="11" t="n">
        <v>7980</v>
      </c>
      <c r="L72" s="7" t="str">
        <f aca="false">TEXT(B72,"yyyy-mm")</f>
        <v>2024-07</v>
      </c>
    </row>
    <row r="73" customFormat="false" ht="15" hidden="false" customHeight="false" outlineLevel="0" collapsed="false">
      <c r="A73" s="7" t="s">
        <v>159</v>
      </c>
      <c r="B73" s="8" t="n">
        <v>45491</v>
      </c>
      <c r="C73" s="7" t="s">
        <v>61</v>
      </c>
      <c r="D73" s="7" t="s">
        <v>75</v>
      </c>
      <c r="E73" s="7" t="s">
        <v>58</v>
      </c>
      <c r="F73" s="7" t="s">
        <v>37</v>
      </c>
      <c r="G73" s="7" t="s">
        <v>111</v>
      </c>
      <c r="H73" s="7" t="n">
        <v>3</v>
      </c>
      <c r="I73" s="9" t="n">
        <v>0.25</v>
      </c>
      <c r="J73" s="10" t="n">
        <v>4050</v>
      </c>
      <c r="K73" s="11" t="n">
        <v>81</v>
      </c>
      <c r="L73" s="7" t="str">
        <f aca="false">TEXT(B73,"yyyy-mm")</f>
        <v>2024-07</v>
      </c>
    </row>
    <row r="74" customFormat="false" ht="15" hidden="false" customHeight="false" outlineLevel="0" collapsed="false">
      <c r="A74" s="7" t="s">
        <v>160</v>
      </c>
      <c r="B74" s="8" t="n">
        <v>45493</v>
      </c>
      <c r="C74" s="7" t="s">
        <v>113</v>
      </c>
      <c r="D74" s="7" t="s">
        <v>75</v>
      </c>
      <c r="E74" s="7" t="s">
        <v>54</v>
      </c>
      <c r="F74" s="7" t="s">
        <v>37</v>
      </c>
      <c r="G74" s="7" t="s">
        <v>38</v>
      </c>
      <c r="H74" s="7" t="n">
        <v>6</v>
      </c>
      <c r="I74" s="9" t="n">
        <v>0.25</v>
      </c>
      <c r="J74" s="10" t="n">
        <v>27000</v>
      </c>
      <c r="K74" s="11" t="n">
        <v>540</v>
      </c>
      <c r="L74" s="7" t="str">
        <f aca="false">TEXT(B74,"yyyy-mm")</f>
        <v>2024-07</v>
      </c>
    </row>
    <row r="75" customFormat="false" ht="15" hidden="false" customHeight="false" outlineLevel="0" collapsed="false">
      <c r="A75" s="7" t="s">
        <v>161</v>
      </c>
      <c r="B75" s="8" t="n">
        <v>45497</v>
      </c>
      <c r="C75" s="7" t="s">
        <v>57</v>
      </c>
      <c r="D75" s="7" t="s">
        <v>35</v>
      </c>
      <c r="E75" s="7" t="s">
        <v>58</v>
      </c>
      <c r="F75" s="7" t="s">
        <v>37</v>
      </c>
      <c r="G75" s="7" t="s">
        <v>55</v>
      </c>
      <c r="H75" s="7" t="n">
        <v>1</v>
      </c>
      <c r="I75" s="9" t="n">
        <v>0</v>
      </c>
      <c r="J75" s="10" t="n">
        <v>8000</v>
      </c>
      <c r="K75" s="11" t="n">
        <v>1760</v>
      </c>
      <c r="L75" s="7" t="str">
        <f aca="false">TEXT(B75,"yyyy-mm")</f>
        <v>2024-07</v>
      </c>
    </row>
    <row r="76" customFormat="false" ht="15" hidden="false" customHeight="false" outlineLevel="0" collapsed="false">
      <c r="A76" s="7" t="s">
        <v>162</v>
      </c>
      <c r="B76" s="8" t="n">
        <v>45500</v>
      </c>
      <c r="C76" s="7" t="s">
        <v>50</v>
      </c>
      <c r="D76" s="7" t="s">
        <v>35</v>
      </c>
      <c r="E76" s="7" t="s">
        <v>54</v>
      </c>
      <c r="F76" s="7" t="s">
        <v>43</v>
      </c>
      <c r="G76" s="7" t="s">
        <v>59</v>
      </c>
      <c r="H76" s="7" t="n">
        <v>2</v>
      </c>
      <c r="I76" s="9" t="n">
        <v>0.2</v>
      </c>
      <c r="J76" s="10" t="n">
        <v>88000</v>
      </c>
      <c r="K76" s="11" t="n">
        <v>1760</v>
      </c>
      <c r="L76" s="7" t="str">
        <f aca="false">TEXT(B76,"yyyy-mm")</f>
        <v>2024-07</v>
      </c>
    </row>
    <row r="77" customFormat="false" ht="15" hidden="false" customHeight="false" outlineLevel="0" collapsed="false">
      <c r="A77" s="7" t="s">
        <v>163</v>
      </c>
      <c r="B77" s="8" t="n">
        <v>45504</v>
      </c>
      <c r="C77" s="7" t="s">
        <v>101</v>
      </c>
      <c r="D77" s="7" t="s">
        <v>35</v>
      </c>
      <c r="E77" s="7" t="s">
        <v>42</v>
      </c>
      <c r="F77" s="7" t="s">
        <v>43</v>
      </c>
      <c r="G77" s="7" t="s">
        <v>66</v>
      </c>
      <c r="H77" s="7" t="n">
        <v>6</v>
      </c>
      <c r="I77" s="9" t="n">
        <v>0</v>
      </c>
      <c r="J77" s="10" t="n">
        <v>72000</v>
      </c>
      <c r="K77" s="11" t="n">
        <v>12960</v>
      </c>
      <c r="L77" s="7" t="str">
        <f aca="false">TEXT(B77,"yyyy-mm")</f>
        <v>2024-07</v>
      </c>
    </row>
    <row r="78" customFormat="false" ht="15" hidden="false" customHeight="false" outlineLevel="0" collapsed="false">
      <c r="A78" s="7" t="s">
        <v>164</v>
      </c>
      <c r="B78" s="8" t="n">
        <v>45506</v>
      </c>
      <c r="C78" s="7" t="s">
        <v>50</v>
      </c>
      <c r="D78" s="7" t="s">
        <v>35</v>
      </c>
      <c r="E78" s="7" t="s">
        <v>58</v>
      </c>
      <c r="F78" s="7" t="s">
        <v>47</v>
      </c>
      <c r="G78" s="7" t="s">
        <v>69</v>
      </c>
      <c r="H78" s="7" t="n">
        <v>4</v>
      </c>
      <c r="I78" s="9" t="n">
        <v>0.1</v>
      </c>
      <c r="J78" s="10" t="n">
        <v>720</v>
      </c>
      <c r="K78" s="11" t="n">
        <v>158.4</v>
      </c>
      <c r="L78" s="7" t="str">
        <f aca="false">TEXT(B78,"yyyy-mm")</f>
        <v>2024-08</v>
      </c>
    </row>
    <row r="79" customFormat="false" ht="15" hidden="false" customHeight="false" outlineLevel="0" collapsed="false">
      <c r="A79" s="7" t="s">
        <v>165</v>
      </c>
      <c r="B79" s="8" t="n">
        <v>45513</v>
      </c>
      <c r="C79" s="7" t="s">
        <v>166</v>
      </c>
      <c r="D79" s="7" t="s">
        <v>41</v>
      </c>
      <c r="E79" s="7" t="s">
        <v>36</v>
      </c>
      <c r="F79" s="7" t="s">
        <v>47</v>
      </c>
      <c r="G79" s="7" t="s">
        <v>98</v>
      </c>
      <c r="H79" s="7" t="n">
        <v>2</v>
      </c>
      <c r="I79" s="9" t="n">
        <v>0.15</v>
      </c>
      <c r="J79" s="10" t="n">
        <v>595</v>
      </c>
      <c r="K79" s="11" t="n">
        <v>107.1</v>
      </c>
      <c r="L79" s="7" t="str">
        <f aca="false">TEXT(B79,"yyyy-mm")</f>
        <v>2024-08</v>
      </c>
    </row>
    <row r="80" customFormat="false" ht="15" hidden="false" customHeight="false" outlineLevel="0" collapsed="false">
      <c r="A80" s="7" t="s">
        <v>167</v>
      </c>
      <c r="B80" s="8" t="n">
        <v>45519</v>
      </c>
      <c r="C80" s="7" t="s">
        <v>143</v>
      </c>
      <c r="D80" s="7" t="s">
        <v>35</v>
      </c>
      <c r="E80" s="7" t="s">
        <v>42</v>
      </c>
      <c r="F80" s="7" t="s">
        <v>47</v>
      </c>
      <c r="G80" s="7" t="s">
        <v>89</v>
      </c>
      <c r="H80" s="7" t="n">
        <v>8</v>
      </c>
      <c r="I80" s="9" t="n">
        <v>0</v>
      </c>
      <c r="J80" s="10" t="n">
        <v>2000</v>
      </c>
      <c r="K80" s="11" t="n">
        <v>600</v>
      </c>
      <c r="L80" s="7" t="str">
        <f aca="false">TEXT(B80,"yyyy-mm")</f>
        <v>2024-08</v>
      </c>
    </row>
    <row r="81" customFormat="false" ht="15" hidden="false" customHeight="false" outlineLevel="0" collapsed="false">
      <c r="A81" s="7" t="s">
        <v>168</v>
      </c>
      <c r="B81" s="8" t="n">
        <v>45521</v>
      </c>
      <c r="C81" s="7" t="s">
        <v>137</v>
      </c>
      <c r="D81" s="7" t="s">
        <v>35</v>
      </c>
      <c r="E81" s="7" t="s">
        <v>36</v>
      </c>
      <c r="F81" s="7" t="s">
        <v>43</v>
      </c>
      <c r="G81" s="7" t="s">
        <v>59</v>
      </c>
      <c r="H81" s="7" t="n">
        <v>5</v>
      </c>
      <c r="I81" s="9" t="n">
        <v>0</v>
      </c>
      <c r="J81" s="10" t="n">
        <v>275000</v>
      </c>
      <c r="K81" s="11" t="n">
        <v>49500</v>
      </c>
      <c r="L81" s="7" t="str">
        <f aca="false">TEXT(B81,"yyyy-mm")</f>
        <v>2024-08</v>
      </c>
    </row>
    <row r="82" customFormat="false" ht="15" hidden="false" customHeight="false" outlineLevel="0" collapsed="false">
      <c r="A82" s="7" t="s">
        <v>169</v>
      </c>
      <c r="B82" s="8" t="n">
        <v>45524</v>
      </c>
      <c r="C82" s="7" t="s">
        <v>134</v>
      </c>
      <c r="D82" s="7" t="s">
        <v>35</v>
      </c>
      <c r="E82" s="7" t="s">
        <v>42</v>
      </c>
      <c r="F82" s="7" t="s">
        <v>37</v>
      </c>
      <c r="G82" s="7" t="s">
        <v>111</v>
      </c>
      <c r="H82" s="7" t="n">
        <v>2</v>
      </c>
      <c r="I82" s="9" t="n">
        <v>0.05</v>
      </c>
      <c r="J82" s="10" t="n">
        <v>3420</v>
      </c>
      <c r="K82" s="11" t="n">
        <v>615.6</v>
      </c>
      <c r="L82" s="7" t="str">
        <f aca="false">TEXT(B82,"yyyy-mm")</f>
        <v>2024-08</v>
      </c>
    </row>
    <row r="83" customFormat="false" ht="15" hidden="false" customHeight="false" outlineLevel="0" collapsed="false">
      <c r="A83" s="7" t="s">
        <v>170</v>
      </c>
      <c r="B83" s="8" t="n">
        <v>45525</v>
      </c>
      <c r="C83" s="7" t="s">
        <v>137</v>
      </c>
      <c r="D83" s="7" t="s">
        <v>35</v>
      </c>
      <c r="E83" s="7" t="s">
        <v>36</v>
      </c>
      <c r="F83" s="7" t="s">
        <v>37</v>
      </c>
      <c r="G83" s="7" t="s">
        <v>63</v>
      </c>
      <c r="H83" s="7" t="n">
        <v>7</v>
      </c>
      <c r="I83" s="9" t="n">
        <v>0.25</v>
      </c>
      <c r="J83" s="10" t="n">
        <v>78750</v>
      </c>
      <c r="K83" s="11" t="n">
        <v>1575</v>
      </c>
      <c r="L83" s="7" t="str">
        <f aca="false">TEXT(B83,"yyyy-mm")</f>
        <v>2024-08</v>
      </c>
    </row>
    <row r="84" customFormat="false" ht="15" hidden="false" customHeight="false" outlineLevel="0" collapsed="false">
      <c r="A84" s="7" t="s">
        <v>171</v>
      </c>
      <c r="B84" s="8" t="n">
        <v>45527</v>
      </c>
      <c r="C84" s="7" t="s">
        <v>172</v>
      </c>
      <c r="D84" s="7" t="s">
        <v>35</v>
      </c>
      <c r="E84" s="7" t="s">
        <v>36</v>
      </c>
      <c r="F84" s="7" t="s">
        <v>37</v>
      </c>
      <c r="G84" s="7" t="s">
        <v>38</v>
      </c>
      <c r="H84" s="7" t="n">
        <v>4</v>
      </c>
      <c r="I84" s="9" t="n">
        <v>0</v>
      </c>
      <c r="J84" s="10" t="n">
        <v>24000</v>
      </c>
      <c r="K84" s="11" t="n">
        <v>5280</v>
      </c>
      <c r="L84" s="7" t="str">
        <f aca="false">TEXT(B84,"yyyy-mm")</f>
        <v>2024-08</v>
      </c>
    </row>
    <row r="85" customFormat="false" ht="15" hidden="false" customHeight="false" outlineLevel="0" collapsed="false">
      <c r="A85" s="7" t="s">
        <v>173</v>
      </c>
      <c r="B85" s="8" t="n">
        <v>45531</v>
      </c>
      <c r="C85" s="7" t="s">
        <v>131</v>
      </c>
      <c r="D85" s="7" t="s">
        <v>75</v>
      </c>
      <c r="E85" s="7" t="s">
        <v>54</v>
      </c>
      <c r="F85" s="7" t="s">
        <v>47</v>
      </c>
      <c r="G85" s="7" t="s">
        <v>48</v>
      </c>
      <c r="H85" s="7" t="n">
        <v>2</v>
      </c>
      <c r="I85" s="9" t="n">
        <v>0</v>
      </c>
      <c r="J85" s="10" t="n">
        <v>300</v>
      </c>
      <c r="K85" s="11" t="n">
        <v>90</v>
      </c>
      <c r="L85" s="7" t="str">
        <f aca="false">TEXT(B85,"yyyy-mm")</f>
        <v>2024-08</v>
      </c>
    </row>
    <row r="86" customFormat="false" ht="15" hidden="false" customHeight="false" outlineLevel="0" collapsed="false">
      <c r="A86" s="7" t="s">
        <v>174</v>
      </c>
      <c r="B86" s="8" t="n">
        <v>45531</v>
      </c>
      <c r="C86" s="7" t="s">
        <v>77</v>
      </c>
      <c r="D86" s="7" t="s">
        <v>75</v>
      </c>
      <c r="E86" s="7" t="s">
        <v>36</v>
      </c>
      <c r="F86" s="7" t="s">
        <v>37</v>
      </c>
      <c r="G86" s="7" t="s">
        <v>63</v>
      </c>
      <c r="H86" s="7" t="n">
        <v>2</v>
      </c>
      <c r="I86" s="9" t="n">
        <v>0.05</v>
      </c>
      <c r="J86" s="10" t="n">
        <v>28500</v>
      </c>
      <c r="K86" s="11" t="n">
        <v>5130</v>
      </c>
      <c r="L86" s="7" t="str">
        <f aca="false">TEXT(B86,"yyyy-mm")</f>
        <v>2024-08</v>
      </c>
    </row>
    <row r="87" customFormat="false" ht="15" hidden="false" customHeight="false" outlineLevel="0" collapsed="false">
      <c r="A87" s="7" t="s">
        <v>175</v>
      </c>
      <c r="B87" s="8" t="n">
        <v>45532</v>
      </c>
      <c r="C87" s="7" t="s">
        <v>105</v>
      </c>
      <c r="D87" s="7" t="s">
        <v>75</v>
      </c>
      <c r="E87" s="7" t="s">
        <v>58</v>
      </c>
      <c r="F87" s="7" t="s">
        <v>43</v>
      </c>
      <c r="G87" s="7" t="s">
        <v>93</v>
      </c>
      <c r="H87" s="7" t="n">
        <v>1</v>
      </c>
      <c r="I87" s="9" t="n">
        <v>0.05</v>
      </c>
      <c r="J87" s="10" t="n">
        <v>1425</v>
      </c>
      <c r="K87" s="11" t="n">
        <v>199.5</v>
      </c>
      <c r="L87" s="7" t="str">
        <f aca="false">TEXT(B87,"yyyy-mm")</f>
        <v>2024-08</v>
      </c>
    </row>
    <row r="88" customFormat="false" ht="15" hidden="false" customHeight="false" outlineLevel="0" collapsed="false">
      <c r="A88" s="7" t="s">
        <v>176</v>
      </c>
      <c r="B88" s="8" t="n">
        <v>45533</v>
      </c>
      <c r="C88" s="7" t="s">
        <v>113</v>
      </c>
      <c r="D88" s="7" t="s">
        <v>75</v>
      </c>
      <c r="E88" s="7" t="s">
        <v>42</v>
      </c>
      <c r="F88" s="7" t="s">
        <v>43</v>
      </c>
      <c r="G88" s="7" t="s">
        <v>66</v>
      </c>
      <c r="H88" s="7" t="n">
        <v>3</v>
      </c>
      <c r="I88" s="9" t="n">
        <v>0.1</v>
      </c>
      <c r="J88" s="10" t="n">
        <v>32400</v>
      </c>
      <c r="K88" s="11" t="n">
        <v>3240</v>
      </c>
      <c r="L88" s="7" t="str">
        <f aca="false">TEXT(B88,"yyyy-mm")</f>
        <v>2024-08</v>
      </c>
    </row>
    <row r="89" customFormat="false" ht="15" hidden="false" customHeight="false" outlineLevel="0" collapsed="false">
      <c r="A89" s="7" t="s">
        <v>177</v>
      </c>
      <c r="B89" s="8" t="n">
        <v>45533</v>
      </c>
      <c r="C89" s="7" t="s">
        <v>115</v>
      </c>
      <c r="D89" s="7" t="s">
        <v>75</v>
      </c>
      <c r="E89" s="7" t="s">
        <v>54</v>
      </c>
      <c r="F89" s="7" t="s">
        <v>47</v>
      </c>
      <c r="G89" s="7" t="s">
        <v>98</v>
      </c>
      <c r="H89" s="7" t="n">
        <v>3</v>
      </c>
      <c r="I89" s="9" t="n">
        <v>0.15</v>
      </c>
      <c r="J89" s="10" t="n">
        <v>892.5</v>
      </c>
      <c r="K89" s="11" t="n">
        <v>160.65</v>
      </c>
      <c r="L89" s="7" t="str">
        <f aca="false">TEXT(B89,"yyyy-mm")</f>
        <v>2024-08</v>
      </c>
    </row>
    <row r="90" customFormat="false" ht="15" hidden="false" customHeight="false" outlineLevel="0" collapsed="false">
      <c r="A90" s="7" t="s">
        <v>178</v>
      </c>
      <c r="B90" s="8" t="n">
        <v>45539</v>
      </c>
      <c r="C90" s="7" t="s">
        <v>152</v>
      </c>
      <c r="D90" s="7" t="s">
        <v>41</v>
      </c>
      <c r="E90" s="7" t="s">
        <v>54</v>
      </c>
      <c r="F90" s="7" t="s">
        <v>43</v>
      </c>
      <c r="G90" s="7" t="s">
        <v>66</v>
      </c>
      <c r="H90" s="7" t="n">
        <v>5</v>
      </c>
      <c r="I90" s="9" t="n">
        <v>0.1</v>
      </c>
      <c r="J90" s="10" t="n">
        <v>54000</v>
      </c>
      <c r="K90" s="11" t="n">
        <v>5400</v>
      </c>
      <c r="L90" s="7" t="str">
        <f aca="false">TEXT(B90,"yyyy-mm")</f>
        <v>2024-09</v>
      </c>
    </row>
    <row r="91" customFormat="false" ht="15" hidden="false" customHeight="false" outlineLevel="0" collapsed="false">
      <c r="A91" s="7" t="s">
        <v>179</v>
      </c>
      <c r="B91" s="8" t="n">
        <v>45540</v>
      </c>
      <c r="C91" s="7" t="s">
        <v>71</v>
      </c>
      <c r="D91" s="7" t="s">
        <v>41</v>
      </c>
      <c r="E91" s="7" t="s">
        <v>36</v>
      </c>
      <c r="F91" s="7" t="s">
        <v>47</v>
      </c>
      <c r="G91" s="7" t="s">
        <v>128</v>
      </c>
      <c r="H91" s="7" t="n">
        <v>7</v>
      </c>
      <c r="I91" s="9" t="n">
        <v>0.05</v>
      </c>
      <c r="J91" s="10" t="n">
        <v>798</v>
      </c>
      <c r="K91" s="11" t="n">
        <v>207.48</v>
      </c>
      <c r="L91" s="7" t="str">
        <f aca="false">TEXT(B91,"yyyy-mm")</f>
        <v>2024-09</v>
      </c>
    </row>
    <row r="92" customFormat="false" ht="15" hidden="false" customHeight="false" outlineLevel="0" collapsed="false">
      <c r="A92" s="7" t="s">
        <v>180</v>
      </c>
      <c r="B92" s="8" t="n">
        <v>45540</v>
      </c>
      <c r="C92" s="7" t="s">
        <v>68</v>
      </c>
      <c r="D92" s="7" t="s">
        <v>75</v>
      </c>
      <c r="E92" s="7" t="s">
        <v>58</v>
      </c>
      <c r="F92" s="7" t="s">
        <v>43</v>
      </c>
      <c r="G92" s="7" t="s">
        <v>44</v>
      </c>
      <c r="H92" s="7" t="n">
        <v>3</v>
      </c>
      <c r="I92" s="9" t="n">
        <v>0</v>
      </c>
      <c r="J92" s="10" t="n">
        <v>84000</v>
      </c>
      <c r="K92" s="11" t="n">
        <v>15120</v>
      </c>
      <c r="L92" s="7" t="str">
        <f aca="false">TEXT(B92,"yyyy-mm")</f>
        <v>2024-09</v>
      </c>
    </row>
    <row r="93" customFormat="false" ht="15" hidden="false" customHeight="false" outlineLevel="0" collapsed="false">
      <c r="A93" s="7" t="s">
        <v>181</v>
      </c>
      <c r="B93" s="8" t="n">
        <v>45546</v>
      </c>
      <c r="C93" s="7" t="s">
        <v>101</v>
      </c>
      <c r="D93" s="7" t="s">
        <v>75</v>
      </c>
      <c r="E93" s="7" t="s">
        <v>54</v>
      </c>
      <c r="F93" s="7" t="s">
        <v>47</v>
      </c>
      <c r="G93" s="7" t="s">
        <v>128</v>
      </c>
      <c r="H93" s="7" t="n">
        <v>6</v>
      </c>
      <c r="I93" s="9" t="n">
        <v>0.25</v>
      </c>
      <c r="J93" s="10" t="n">
        <v>540</v>
      </c>
      <c r="K93" s="11" t="n">
        <v>54</v>
      </c>
      <c r="L93" s="7" t="str">
        <f aca="false">TEXT(B93,"yyyy-mm")</f>
        <v>2024-09</v>
      </c>
    </row>
    <row r="94" customFormat="false" ht="15" hidden="false" customHeight="false" outlineLevel="0" collapsed="false">
      <c r="A94" s="7" t="s">
        <v>182</v>
      </c>
      <c r="B94" s="8" t="n">
        <v>45547</v>
      </c>
      <c r="C94" s="7" t="s">
        <v>101</v>
      </c>
      <c r="D94" s="7" t="s">
        <v>35</v>
      </c>
      <c r="E94" s="7" t="s">
        <v>54</v>
      </c>
      <c r="F94" s="7" t="s">
        <v>47</v>
      </c>
      <c r="G94" s="7" t="s">
        <v>128</v>
      </c>
      <c r="H94" s="7" t="n">
        <v>8</v>
      </c>
      <c r="I94" s="9" t="n">
        <v>0.05</v>
      </c>
      <c r="J94" s="10" t="n">
        <v>912</v>
      </c>
      <c r="K94" s="11" t="n">
        <v>237.12</v>
      </c>
      <c r="L94" s="7" t="str">
        <f aca="false">TEXT(B94,"yyyy-mm")</f>
        <v>2024-09</v>
      </c>
    </row>
    <row r="95" customFormat="false" ht="15" hidden="false" customHeight="false" outlineLevel="0" collapsed="false">
      <c r="A95" s="7" t="s">
        <v>183</v>
      </c>
      <c r="B95" s="8" t="n">
        <v>45553</v>
      </c>
      <c r="C95" s="7" t="s">
        <v>121</v>
      </c>
      <c r="D95" s="7" t="s">
        <v>41</v>
      </c>
      <c r="E95" s="7" t="s">
        <v>58</v>
      </c>
      <c r="F95" s="7" t="s">
        <v>47</v>
      </c>
      <c r="G95" s="7" t="s">
        <v>98</v>
      </c>
      <c r="H95" s="7" t="n">
        <v>4</v>
      </c>
      <c r="I95" s="9" t="n">
        <v>0.25</v>
      </c>
      <c r="J95" s="10" t="n">
        <v>1050</v>
      </c>
      <c r="K95" s="11" t="n">
        <v>105</v>
      </c>
      <c r="L95" s="7" t="str">
        <f aca="false">TEXT(B95,"yyyy-mm")</f>
        <v>2024-09</v>
      </c>
    </row>
    <row r="96" customFormat="false" ht="15" hidden="false" customHeight="false" outlineLevel="0" collapsed="false">
      <c r="A96" s="7" t="s">
        <v>184</v>
      </c>
      <c r="B96" s="8" t="n">
        <v>45554</v>
      </c>
      <c r="C96" s="7" t="s">
        <v>79</v>
      </c>
      <c r="D96" s="7" t="s">
        <v>41</v>
      </c>
      <c r="E96" s="7" t="s">
        <v>36</v>
      </c>
      <c r="F96" s="7" t="s">
        <v>47</v>
      </c>
      <c r="G96" s="7" t="s">
        <v>98</v>
      </c>
      <c r="H96" s="7" t="n">
        <v>8</v>
      </c>
      <c r="I96" s="9" t="n">
        <v>0.15</v>
      </c>
      <c r="J96" s="10" t="n">
        <v>2380</v>
      </c>
      <c r="K96" s="11" t="n">
        <v>428.4</v>
      </c>
      <c r="L96" s="7" t="str">
        <f aca="false">TEXT(B96,"yyyy-mm")</f>
        <v>2024-09</v>
      </c>
    </row>
    <row r="97" customFormat="false" ht="15" hidden="false" customHeight="false" outlineLevel="0" collapsed="false">
      <c r="A97" s="7" t="s">
        <v>185</v>
      </c>
      <c r="B97" s="8" t="n">
        <v>45555</v>
      </c>
      <c r="C97" s="7" t="s">
        <v>172</v>
      </c>
      <c r="D97" s="7" t="s">
        <v>35</v>
      </c>
      <c r="E97" s="7" t="s">
        <v>36</v>
      </c>
      <c r="F97" s="7" t="s">
        <v>37</v>
      </c>
      <c r="G97" s="7" t="s">
        <v>72</v>
      </c>
      <c r="H97" s="7" t="n">
        <v>8</v>
      </c>
      <c r="I97" s="9" t="n">
        <v>0.05</v>
      </c>
      <c r="J97" s="10" t="n">
        <v>243200</v>
      </c>
      <c r="K97" s="11" t="n">
        <v>43776</v>
      </c>
      <c r="L97" s="7" t="str">
        <f aca="false">TEXT(B97,"yyyy-mm")</f>
        <v>2024-09</v>
      </c>
    </row>
    <row r="98" customFormat="false" ht="15" hidden="false" customHeight="false" outlineLevel="0" collapsed="false">
      <c r="A98" s="7" t="s">
        <v>186</v>
      </c>
      <c r="B98" s="8" t="n">
        <v>45557</v>
      </c>
      <c r="C98" s="7" t="s">
        <v>61</v>
      </c>
      <c r="D98" s="7" t="s">
        <v>35</v>
      </c>
      <c r="E98" s="7" t="s">
        <v>36</v>
      </c>
      <c r="F98" s="7" t="s">
        <v>37</v>
      </c>
      <c r="G98" s="7" t="s">
        <v>55</v>
      </c>
      <c r="H98" s="7" t="n">
        <v>4</v>
      </c>
      <c r="I98" s="9" t="n">
        <v>0.25</v>
      </c>
      <c r="J98" s="10" t="n">
        <v>24000</v>
      </c>
      <c r="K98" s="11" t="n">
        <v>480</v>
      </c>
      <c r="L98" s="7" t="str">
        <f aca="false">TEXT(B98,"yyyy-mm")</f>
        <v>2024-09</v>
      </c>
    </row>
    <row r="99" customFormat="false" ht="15" hidden="false" customHeight="false" outlineLevel="0" collapsed="false">
      <c r="A99" s="7" t="s">
        <v>187</v>
      </c>
      <c r="B99" s="8" t="n">
        <v>45560</v>
      </c>
      <c r="C99" s="7" t="s">
        <v>65</v>
      </c>
      <c r="D99" s="7" t="s">
        <v>41</v>
      </c>
      <c r="E99" s="7" t="s">
        <v>58</v>
      </c>
      <c r="F99" s="7" t="s">
        <v>43</v>
      </c>
      <c r="G99" s="7" t="s">
        <v>66</v>
      </c>
      <c r="H99" s="7" t="n">
        <v>5</v>
      </c>
      <c r="I99" s="9" t="n">
        <v>0.2</v>
      </c>
      <c r="J99" s="10" t="n">
        <v>48000</v>
      </c>
      <c r="K99" s="11" t="n">
        <v>960</v>
      </c>
      <c r="L99" s="7" t="str">
        <f aca="false">TEXT(B99,"yyyy-mm")</f>
        <v>2024-09</v>
      </c>
    </row>
    <row r="100" customFormat="false" ht="15" hidden="false" customHeight="false" outlineLevel="0" collapsed="false">
      <c r="A100" s="7" t="s">
        <v>188</v>
      </c>
      <c r="B100" s="8" t="n">
        <v>45563</v>
      </c>
      <c r="C100" s="7" t="s">
        <v>113</v>
      </c>
      <c r="D100" s="7" t="s">
        <v>41</v>
      </c>
      <c r="E100" s="7" t="s">
        <v>42</v>
      </c>
      <c r="F100" s="7" t="s">
        <v>43</v>
      </c>
      <c r="G100" s="7" t="s">
        <v>59</v>
      </c>
      <c r="H100" s="7" t="n">
        <v>2</v>
      </c>
      <c r="I100" s="9" t="n">
        <v>0.25</v>
      </c>
      <c r="J100" s="10" t="n">
        <v>82500</v>
      </c>
      <c r="K100" s="11" t="n">
        <v>-1650</v>
      </c>
      <c r="L100" s="7" t="str">
        <f aca="false">TEXT(B100,"yyyy-mm")</f>
        <v>2024-09</v>
      </c>
    </row>
    <row r="101" customFormat="false" ht="15" hidden="false" customHeight="false" outlineLevel="0" collapsed="false">
      <c r="A101" s="7" t="s">
        <v>189</v>
      </c>
      <c r="B101" s="8" t="n">
        <v>45563</v>
      </c>
      <c r="C101" s="7" t="s">
        <v>79</v>
      </c>
      <c r="D101" s="7" t="s">
        <v>35</v>
      </c>
      <c r="E101" s="7" t="s">
        <v>42</v>
      </c>
      <c r="F101" s="7" t="s">
        <v>37</v>
      </c>
      <c r="G101" s="7" t="s">
        <v>72</v>
      </c>
      <c r="H101" s="7" t="n">
        <v>3</v>
      </c>
      <c r="I101" s="9" t="n">
        <v>0</v>
      </c>
      <c r="J101" s="10" t="n">
        <v>96000</v>
      </c>
      <c r="K101" s="11" t="n">
        <v>21120</v>
      </c>
      <c r="L101" s="7" t="str">
        <f aca="false">TEXT(B101,"yyyy-mm")</f>
        <v>2024-09</v>
      </c>
    </row>
    <row r="102" customFormat="false" ht="15" hidden="false" customHeight="false" outlineLevel="0" collapsed="false">
      <c r="A102" s="7" t="s">
        <v>190</v>
      </c>
      <c r="B102" s="8" t="n">
        <v>45567</v>
      </c>
      <c r="C102" s="7" t="s">
        <v>65</v>
      </c>
      <c r="D102" s="7" t="s">
        <v>75</v>
      </c>
      <c r="E102" s="7" t="s">
        <v>36</v>
      </c>
      <c r="F102" s="7" t="s">
        <v>47</v>
      </c>
      <c r="G102" s="7" t="s">
        <v>48</v>
      </c>
      <c r="H102" s="7" t="n">
        <v>6</v>
      </c>
      <c r="I102" s="9" t="n">
        <v>0.1</v>
      </c>
      <c r="J102" s="10" t="n">
        <v>810</v>
      </c>
      <c r="K102" s="11" t="n">
        <v>178.2</v>
      </c>
      <c r="L102" s="7" t="str">
        <f aca="false">TEXT(B102,"yyyy-mm")</f>
        <v>2024-10</v>
      </c>
    </row>
    <row r="103" customFormat="false" ht="15" hidden="false" customHeight="false" outlineLevel="0" collapsed="false">
      <c r="A103" s="7" t="s">
        <v>191</v>
      </c>
      <c r="B103" s="8" t="n">
        <v>45568</v>
      </c>
      <c r="C103" s="7" t="s">
        <v>131</v>
      </c>
      <c r="D103" s="7" t="s">
        <v>41</v>
      </c>
      <c r="E103" s="7" t="s">
        <v>54</v>
      </c>
      <c r="F103" s="7" t="s">
        <v>43</v>
      </c>
      <c r="G103" s="7" t="s">
        <v>59</v>
      </c>
      <c r="H103" s="7" t="n">
        <v>4</v>
      </c>
      <c r="I103" s="9" t="n">
        <v>0</v>
      </c>
      <c r="J103" s="10" t="n">
        <v>220000</v>
      </c>
      <c r="K103" s="11" t="n">
        <v>39600</v>
      </c>
      <c r="L103" s="7" t="str">
        <f aca="false">TEXT(B103,"yyyy-mm")</f>
        <v>2024-10</v>
      </c>
    </row>
    <row r="104" customFormat="false" ht="15" hidden="false" customHeight="false" outlineLevel="0" collapsed="false">
      <c r="A104" s="7" t="s">
        <v>192</v>
      </c>
      <c r="B104" s="8" t="n">
        <v>45573</v>
      </c>
      <c r="C104" s="7" t="s">
        <v>193</v>
      </c>
      <c r="D104" s="7" t="s">
        <v>41</v>
      </c>
      <c r="E104" s="7" t="s">
        <v>42</v>
      </c>
      <c r="F104" s="7" t="s">
        <v>37</v>
      </c>
      <c r="G104" s="7" t="s">
        <v>38</v>
      </c>
      <c r="H104" s="7" t="n">
        <v>8</v>
      </c>
      <c r="I104" s="9" t="n">
        <v>0.05</v>
      </c>
      <c r="J104" s="10" t="n">
        <v>45600</v>
      </c>
      <c r="K104" s="11" t="n">
        <v>8208</v>
      </c>
      <c r="L104" s="7" t="str">
        <f aca="false">TEXT(B104,"yyyy-mm")</f>
        <v>2024-10</v>
      </c>
    </row>
    <row r="105" customFormat="false" ht="15" hidden="false" customHeight="false" outlineLevel="0" collapsed="false">
      <c r="A105" s="7" t="s">
        <v>194</v>
      </c>
      <c r="B105" s="8" t="n">
        <v>45573</v>
      </c>
      <c r="C105" s="7" t="s">
        <v>195</v>
      </c>
      <c r="D105" s="7" t="s">
        <v>35</v>
      </c>
      <c r="E105" s="7" t="s">
        <v>58</v>
      </c>
      <c r="F105" s="7" t="s">
        <v>43</v>
      </c>
      <c r="G105" s="7" t="s">
        <v>66</v>
      </c>
      <c r="H105" s="7" t="n">
        <v>2</v>
      </c>
      <c r="I105" s="9" t="n">
        <v>0.05</v>
      </c>
      <c r="J105" s="10" t="n">
        <v>22800</v>
      </c>
      <c r="K105" s="11" t="n">
        <v>3192</v>
      </c>
      <c r="L105" s="7" t="str">
        <f aca="false">TEXT(B105,"yyyy-mm")</f>
        <v>2024-10</v>
      </c>
    </row>
    <row r="106" customFormat="false" ht="15" hidden="false" customHeight="false" outlineLevel="0" collapsed="false">
      <c r="A106" s="7" t="s">
        <v>196</v>
      </c>
      <c r="B106" s="8" t="n">
        <v>45579</v>
      </c>
      <c r="C106" s="7" t="s">
        <v>77</v>
      </c>
      <c r="D106" s="7" t="s">
        <v>75</v>
      </c>
      <c r="E106" s="7" t="s">
        <v>36</v>
      </c>
      <c r="F106" s="7" t="s">
        <v>37</v>
      </c>
      <c r="G106" s="7" t="s">
        <v>72</v>
      </c>
      <c r="H106" s="7" t="n">
        <v>4</v>
      </c>
      <c r="I106" s="9" t="n">
        <v>0.2</v>
      </c>
      <c r="J106" s="10" t="n">
        <v>102400</v>
      </c>
      <c r="K106" s="11" t="n">
        <v>6144</v>
      </c>
      <c r="L106" s="7" t="str">
        <f aca="false">TEXT(B106,"yyyy-mm")</f>
        <v>2024-10</v>
      </c>
    </row>
    <row r="107" customFormat="false" ht="15" hidden="false" customHeight="false" outlineLevel="0" collapsed="false">
      <c r="A107" s="7" t="s">
        <v>197</v>
      </c>
      <c r="B107" s="8" t="n">
        <v>45580</v>
      </c>
      <c r="C107" s="7" t="s">
        <v>113</v>
      </c>
      <c r="D107" s="7" t="s">
        <v>75</v>
      </c>
      <c r="E107" s="7" t="s">
        <v>58</v>
      </c>
      <c r="F107" s="7" t="s">
        <v>43</v>
      </c>
      <c r="G107" s="7" t="s">
        <v>66</v>
      </c>
      <c r="H107" s="7" t="n">
        <v>5</v>
      </c>
      <c r="I107" s="9" t="n">
        <v>0.25</v>
      </c>
      <c r="J107" s="10" t="n">
        <v>45000</v>
      </c>
      <c r="K107" s="11" t="n">
        <v>-900</v>
      </c>
      <c r="L107" s="7" t="str">
        <f aca="false">TEXT(B107,"yyyy-mm")</f>
        <v>2024-10</v>
      </c>
    </row>
    <row r="108" customFormat="false" ht="15" hidden="false" customHeight="false" outlineLevel="0" collapsed="false">
      <c r="A108" s="7" t="s">
        <v>198</v>
      </c>
      <c r="B108" s="8" t="n">
        <v>45582</v>
      </c>
      <c r="C108" s="7" t="s">
        <v>77</v>
      </c>
      <c r="D108" s="7" t="s">
        <v>41</v>
      </c>
      <c r="E108" s="7" t="s">
        <v>36</v>
      </c>
      <c r="F108" s="7" t="s">
        <v>47</v>
      </c>
      <c r="G108" s="7" t="s">
        <v>89</v>
      </c>
      <c r="H108" s="7" t="n">
        <v>4</v>
      </c>
      <c r="I108" s="9" t="n">
        <v>0.2</v>
      </c>
      <c r="J108" s="10" t="n">
        <v>800</v>
      </c>
      <c r="K108" s="11" t="n">
        <v>112</v>
      </c>
      <c r="L108" s="7" t="str">
        <f aca="false">TEXT(B108,"yyyy-mm")</f>
        <v>2024-10</v>
      </c>
    </row>
    <row r="109" customFormat="false" ht="15" hidden="false" customHeight="false" outlineLevel="0" collapsed="false">
      <c r="A109" s="7" t="s">
        <v>199</v>
      </c>
      <c r="B109" s="8" t="n">
        <v>45582</v>
      </c>
      <c r="C109" s="7" t="s">
        <v>95</v>
      </c>
      <c r="D109" s="7" t="s">
        <v>35</v>
      </c>
      <c r="E109" s="7" t="s">
        <v>54</v>
      </c>
      <c r="F109" s="7" t="s">
        <v>43</v>
      </c>
      <c r="G109" s="7" t="s">
        <v>93</v>
      </c>
      <c r="H109" s="7" t="n">
        <v>3</v>
      </c>
      <c r="I109" s="9" t="n">
        <v>0.2</v>
      </c>
      <c r="J109" s="10" t="n">
        <v>3600</v>
      </c>
      <c r="K109" s="11" t="n">
        <v>72</v>
      </c>
      <c r="L109" s="7" t="str">
        <f aca="false">TEXT(B109,"yyyy-mm")</f>
        <v>2024-10</v>
      </c>
    </row>
    <row r="110" customFormat="false" ht="15" hidden="false" customHeight="false" outlineLevel="0" collapsed="false">
      <c r="A110" s="7" t="s">
        <v>200</v>
      </c>
      <c r="B110" s="8" t="n">
        <v>45583</v>
      </c>
      <c r="C110" s="7" t="s">
        <v>115</v>
      </c>
      <c r="D110" s="7" t="s">
        <v>41</v>
      </c>
      <c r="E110" s="7" t="s">
        <v>54</v>
      </c>
      <c r="F110" s="7" t="s">
        <v>47</v>
      </c>
      <c r="G110" s="7" t="s">
        <v>128</v>
      </c>
      <c r="H110" s="7" t="n">
        <v>6</v>
      </c>
      <c r="I110" s="9" t="n">
        <v>0</v>
      </c>
      <c r="J110" s="10" t="n">
        <v>720</v>
      </c>
      <c r="K110" s="11" t="n">
        <v>216</v>
      </c>
      <c r="L110" s="7" t="str">
        <f aca="false">TEXT(B110,"yyyy-mm")</f>
        <v>2024-10</v>
      </c>
    </row>
    <row r="111" customFormat="false" ht="15" hidden="false" customHeight="false" outlineLevel="0" collapsed="false">
      <c r="A111" s="7" t="s">
        <v>201</v>
      </c>
      <c r="B111" s="8" t="n">
        <v>45586</v>
      </c>
      <c r="C111" s="7" t="s">
        <v>202</v>
      </c>
      <c r="D111" s="7" t="s">
        <v>35</v>
      </c>
      <c r="E111" s="7" t="s">
        <v>54</v>
      </c>
      <c r="F111" s="7" t="s">
        <v>47</v>
      </c>
      <c r="G111" s="7" t="s">
        <v>98</v>
      </c>
      <c r="H111" s="7" t="n">
        <v>5</v>
      </c>
      <c r="I111" s="9" t="n">
        <v>0.15</v>
      </c>
      <c r="J111" s="10" t="n">
        <v>1487.5</v>
      </c>
      <c r="K111" s="11" t="n">
        <v>267.75</v>
      </c>
      <c r="L111" s="7" t="str">
        <f aca="false">TEXT(B111,"yyyy-mm")</f>
        <v>2024-10</v>
      </c>
    </row>
    <row r="112" customFormat="false" ht="15" hidden="false" customHeight="false" outlineLevel="0" collapsed="false">
      <c r="A112" s="7" t="s">
        <v>203</v>
      </c>
      <c r="B112" s="8" t="n">
        <v>45586</v>
      </c>
      <c r="C112" s="7" t="s">
        <v>82</v>
      </c>
      <c r="D112" s="7" t="s">
        <v>41</v>
      </c>
      <c r="E112" s="7" t="s">
        <v>58</v>
      </c>
      <c r="F112" s="7" t="s">
        <v>37</v>
      </c>
      <c r="G112" s="7" t="s">
        <v>38</v>
      </c>
      <c r="H112" s="7" t="n">
        <v>1</v>
      </c>
      <c r="I112" s="9" t="n">
        <v>0.25</v>
      </c>
      <c r="J112" s="10" t="n">
        <v>4500</v>
      </c>
      <c r="K112" s="11" t="n">
        <v>90</v>
      </c>
      <c r="L112" s="7" t="str">
        <f aca="false">TEXT(B112,"yyyy-mm")</f>
        <v>2024-10</v>
      </c>
    </row>
    <row r="113" customFormat="false" ht="15" hidden="false" customHeight="false" outlineLevel="0" collapsed="false">
      <c r="A113" s="7" t="s">
        <v>204</v>
      </c>
      <c r="B113" s="8" t="n">
        <v>45590</v>
      </c>
      <c r="C113" s="7" t="s">
        <v>101</v>
      </c>
      <c r="D113" s="7" t="s">
        <v>41</v>
      </c>
      <c r="E113" s="7" t="s">
        <v>58</v>
      </c>
      <c r="F113" s="7" t="s">
        <v>37</v>
      </c>
      <c r="G113" s="7" t="s">
        <v>38</v>
      </c>
      <c r="H113" s="7" t="n">
        <v>4</v>
      </c>
      <c r="I113" s="9" t="n">
        <v>0</v>
      </c>
      <c r="J113" s="10" t="n">
        <v>24000</v>
      </c>
      <c r="K113" s="11" t="n">
        <v>5280</v>
      </c>
      <c r="L113" s="7" t="str">
        <f aca="false">TEXT(B113,"yyyy-mm")</f>
        <v>2024-10</v>
      </c>
    </row>
    <row r="114" customFormat="false" ht="15" hidden="false" customHeight="false" outlineLevel="0" collapsed="false">
      <c r="A114" s="7" t="s">
        <v>205</v>
      </c>
      <c r="B114" s="8" t="n">
        <v>45593</v>
      </c>
      <c r="C114" s="7" t="s">
        <v>121</v>
      </c>
      <c r="D114" s="7" t="s">
        <v>35</v>
      </c>
      <c r="E114" s="7" t="s">
        <v>42</v>
      </c>
      <c r="F114" s="7" t="s">
        <v>47</v>
      </c>
      <c r="G114" s="7" t="s">
        <v>48</v>
      </c>
      <c r="H114" s="7" t="n">
        <v>7</v>
      </c>
      <c r="I114" s="9" t="n">
        <v>0</v>
      </c>
      <c r="J114" s="10" t="n">
        <v>1050</v>
      </c>
      <c r="K114" s="11" t="n">
        <v>315</v>
      </c>
      <c r="L114" s="7" t="str">
        <f aca="false">TEXT(B114,"yyyy-mm")</f>
        <v>2024-10</v>
      </c>
    </row>
    <row r="115" customFormat="false" ht="15" hidden="false" customHeight="false" outlineLevel="0" collapsed="false">
      <c r="A115" s="7" t="s">
        <v>206</v>
      </c>
      <c r="B115" s="8" t="n">
        <v>45595</v>
      </c>
      <c r="C115" s="7" t="s">
        <v>113</v>
      </c>
      <c r="D115" s="7" t="s">
        <v>35</v>
      </c>
      <c r="E115" s="7" t="s">
        <v>58</v>
      </c>
      <c r="F115" s="7" t="s">
        <v>47</v>
      </c>
      <c r="G115" s="7" t="s">
        <v>48</v>
      </c>
      <c r="H115" s="7" t="n">
        <v>3</v>
      </c>
      <c r="I115" s="9" t="n">
        <v>0.2</v>
      </c>
      <c r="J115" s="10" t="n">
        <v>360</v>
      </c>
      <c r="K115" s="11" t="n">
        <v>50.4</v>
      </c>
      <c r="L115" s="7" t="str">
        <f aca="false">TEXT(B115,"yyyy-mm")</f>
        <v>2024-10</v>
      </c>
    </row>
    <row r="116" customFormat="false" ht="15" hidden="false" customHeight="false" outlineLevel="0" collapsed="false">
      <c r="A116" s="7" t="s">
        <v>207</v>
      </c>
      <c r="B116" s="8" t="n">
        <v>45595</v>
      </c>
      <c r="C116" s="7" t="s">
        <v>131</v>
      </c>
      <c r="D116" s="7" t="s">
        <v>41</v>
      </c>
      <c r="E116" s="7" t="s">
        <v>36</v>
      </c>
      <c r="F116" s="7" t="s">
        <v>37</v>
      </c>
      <c r="G116" s="7" t="s">
        <v>72</v>
      </c>
      <c r="H116" s="7" t="n">
        <v>8</v>
      </c>
      <c r="I116" s="9" t="n">
        <v>0.2</v>
      </c>
      <c r="J116" s="10" t="n">
        <v>204800</v>
      </c>
      <c r="K116" s="11" t="n">
        <v>12288</v>
      </c>
      <c r="L116" s="7" t="str">
        <f aca="false">TEXT(B116,"yyyy-mm")</f>
        <v>2024-10</v>
      </c>
    </row>
    <row r="117" customFormat="false" ht="15" hidden="false" customHeight="false" outlineLevel="0" collapsed="false">
      <c r="A117" s="7" t="s">
        <v>208</v>
      </c>
      <c r="B117" s="8" t="n">
        <v>45601</v>
      </c>
      <c r="C117" s="7" t="s">
        <v>95</v>
      </c>
      <c r="D117" s="7" t="s">
        <v>75</v>
      </c>
      <c r="E117" s="7" t="s">
        <v>58</v>
      </c>
      <c r="F117" s="7" t="s">
        <v>43</v>
      </c>
      <c r="G117" s="7" t="s">
        <v>51</v>
      </c>
      <c r="H117" s="7" t="n">
        <v>1</v>
      </c>
      <c r="I117" s="9" t="n">
        <v>0.2</v>
      </c>
      <c r="J117" s="10" t="n">
        <v>2800</v>
      </c>
      <c r="K117" s="11" t="n">
        <v>56</v>
      </c>
      <c r="L117" s="7" t="str">
        <f aca="false">TEXT(B117,"yyyy-mm")</f>
        <v>2024-11</v>
      </c>
    </row>
    <row r="118" customFormat="false" ht="15" hidden="false" customHeight="false" outlineLevel="0" collapsed="false">
      <c r="A118" s="7" t="s">
        <v>209</v>
      </c>
      <c r="B118" s="8" t="n">
        <v>45602</v>
      </c>
      <c r="C118" s="7" t="s">
        <v>95</v>
      </c>
      <c r="D118" s="7" t="s">
        <v>35</v>
      </c>
      <c r="E118" s="7" t="s">
        <v>54</v>
      </c>
      <c r="F118" s="7" t="s">
        <v>37</v>
      </c>
      <c r="G118" s="7" t="s">
        <v>63</v>
      </c>
      <c r="H118" s="7" t="n">
        <v>4</v>
      </c>
      <c r="I118" s="9" t="n">
        <v>0.2</v>
      </c>
      <c r="J118" s="10" t="n">
        <v>48000</v>
      </c>
      <c r="K118" s="11" t="n">
        <v>2880</v>
      </c>
      <c r="L118" s="7" t="str">
        <f aca="false">TEXT(B118,"yyyy-mm")</f>
        <v>2024-11</v>
      </c>
    </row>
    <row r="119" customFormat="false" ht="15" hidden="false" customHeight="false" outlineLevel="0" collapsed="false">
      <c r="A119" s="7" t="s">
        <v>210</v>
      </c>
      <c r="B119" s="8" t="n">
        <v>45602</v>
      </c>
      <c r="C119" s="7" t="s">
        <v>113</v>
      </c>
      <c r="D119" s="7" t="s">
        <v>35</v>
      </c>
      <c r="E119" s="7" t="s">
        <v>42</v>
      </c>
      <c r="F119" s="7" t="s">
        <v>47</v>
      </c>
      <c r="G119" s="7" t="s">
        <v>128</v>
      </c>
      <c r="H119" s="7" t="n">
        <v>5</v>
      </c>
      <c r="I119" s="9" t="n">
        <v>0.25</v>
      </c>
      <c r="J119" s="10" t="n">
        <v>450</v>
      </c>
      <c r="K119" s="11" t="n">
        <v>45</v>
      </c>
      <c r="L119" s="7" t="str">
        <f aca="false">TEXT(B119,"yyyy-mm")</f>
        <v>2024-11</v>
      </c>
    </row>
    <row r="120" customFormat="false" ht="15" hidden="false" customHeight="false" outlineLevel="0" collapsed="false">
      <c r="A120" s="7" t="s">
        <v>211</v>
      </c>
      <c r="B120" s="8" t="n">
        <v>45602</v>
      </c>
      <c r="C120" s="7" t="s">
        <v>65</v>
      </c>
      <c r="D120" s="7" t="s">
        <v>41</v>
      </c>
      <c r="E120" s="7" t="s">
        <v>58</v>
      </c>
      <c r="F120" s="7" t="s">
        <v>37</v>
      </c>
      <c r="G120" s="7" t="s">
        <v>111</v>
      </c>
      <c r="H120" s="7" t="n">
        <v>8</v>
      </c>
      <c r="I120" s="9" t="n">
        <v>0.25</v>
      </c>
      <c r="J120" s="10" t="n">
        <v>10800</v>
      </c>
      <c r="K120" s="11" t="n">
        <v>216</v>
      </c>
      <c r="L120" s="7" t="str">
        <f aca="false">TEXT(B120,"yyyy-mm")</f>
        <v>2024-11</v>
      </c>
    </row>
    <row r="121" customFormat="false" ht="15" hidden="false" customHeight="false" outlineLevel="0" collapsed="false">
      <c r="A121" s="7" t="s">
        <v>212</v>
      </c>
      <c r="B121" s="8" t="n">
        <v>45604</v>
      </c>
      <c r="C121" s="7" t="s">
        <v>101</v>
      </c>
      <c r="D121" s="7" t="s">
        <v>41</v>
      </c>
      <c r="E121" s="7" t="s">
        <v>42</v>
      </c>
      <c r="F121" s="7" t="s">
        <v>47</v>
      </c>
      <c r="G121" s="7" t="s">
        <v>98</v>
      </c>
      <c r="H121" s="7" t="n">
        <v>4</v>
      </c>
      <c r="I121" s="9" t="n">
        <v>0.2</v>
      </c>
      <c r="J121" s="10" t="n">
        <v>1120</v>
      </c>
      <c r="K121" s="11" t="n">
        <v>156.8</v>
      </c>
      <c r="L121" s="7" t="str">
        <f aca="false">TEXT(B121,"yyyy-mm")</f>
        <v>2024-11</v>
      </c>
    </row>
    <row r="122" customFormat="false" ht="15" hidden="false" customHeight="false" outlineLevel="0" collapsed="false">
      <c r="A122" s="7" t="s">
        <v>213</v>
      </c>
      <c r="B122" s="8" t="n">
        <v>45609</v>
      </c>
      <c r="C122" s="7" t="s">
        <v>115</v>
      </c>
      <c r="D122" s="7" t="s">
        <v>41</v>
      </c>
      <c r="E122" s="7" t="s">
        <v>36</v>
      </c>
      <c r="F122" s="7" t="s">
        <v>43</v>
      </c>
      <c r="G122" s="7" t="s">
        <v>66</v>
      </c>
      <c r="H122" s="7" t="n">
        <v>6</v>
      </c>
      <c r="I122" s="9" t="n">
        <v>0.05</v>
      </c>
      <c r="J122" s="10" t="n">
        <v>68400</v>
      </c>
      <c r="K122" s="11" t="n">
        <v>9576</v>
      </c>
      <c r="L122" s="7" t="str">
        <f aca="false">TEXT(B122,"yyyy-mm")</f>
        <v>2024-11</v>
      </c>
    </row>
    <row r="123" customFormat="false" ht="15" hidden="false" customHeight="false" outlineLevel="0" collapsed="false">
      <c r="A123" s="7" t="s">
        <v>214</v>
      </c>
      <c r="B123" s="8" t="n">
        <v>45609</v>
      </c>
      <c r="C123" s="7" t="s">
        <v>172</v>
      </c>
      <c r="D123" s="7" t="s">
        <v>41</v>
      </c>
      <c r="E123" s="7" t="s">
        <v>58</v>
      </c>
      <c r="F123" s="7" t="s">
        <v>37</v>
      </c>
      <c r="G123" s="7" t="s">
        <v>55</v>
      </c>
      <c r="H123" s="7" t="n">
        <v>4</v>
      </c>
      <c r="I123" s="9" t="n">
        <v>0.2</v>
      </c>
      <c r="J123" s="10" t="n">
        <v>25600</v>
      </c>
      <c r="K123" s="11" t="n">
        <v>1536</v>
      </c>
      <c r="L123" s="7" t="str">
        <f aca="false">TEXT(B123,"yyyy-mm")</f>
        <v>2024-11</v>
      </c>
    </row>
    <row r="124" customFormat="false" ht="15" hidden="false" customHeight="false" outlineLevel="0" collapsed="false">
      <c r="A124" s="7" t="s">
        <v>215</v>
      </c>
      <c r="B124" s="8" t="n">
        <v>45612</v>
      </c>
      <c r="C124" s="7" t="s">
        <v>110</v>
      </c>
      <c r="D124" s="7" t="s">
        <v>35</v>
      </c>
      <c r="E124" s="7" t="s">
        <v>54</v>
      </c>
      <c r="F124" s="7" t="s">
        <v>37</v>
      </c>
      <c r="G124" s="7" t="s">
        <v>55</v>
      </c>
      <c r="H124" s="7" t="n">
        <v>4</v>
      </c>
      <c r="I124" s="9" t="n">
        <v>0.05</v>
      </c>
      <c r="J124" s="10" t="n">
        <v>30400</v>
      </c>
      <c r="K124" s="11" t="n">
        <v>5472</v>
      </c>
      <c r="L124" s="7" t="str">
        <f aca="false">TEXT(B124,"yyyy-mm")</f>
        <v>2024-11</v>
      </c>
    </row>
    <row r="125" customFormat="false" ht="15" hidden="false" customHeight="false" outlineLevel="0" collapsed="false">
      <c r="A125" s="7" t="s">
        <v>216</v>
      </c>
      <c r="B125" s="8" t="n">
        <v>45613</v>
      </c>
      <c r="C125" s="7" t="s">
        <v>195</v>
      </c>
      <c r="D125" s="7" t="s">
        <v>75</v>
      </c>
      <c r="E125" s="7" t="s">
        <v>58</v>
      </c>
      <c r="F125" s="7" t="s">
        <v>43</v>
      </c>
      <c r="G125" s="7" t="s">
        <v>59</v>
      </c>
      <c r="H125" s="7" t="n">
        <v>5</v>
      </c>
      <c r="I125" s="9" t="n">
        <v>0.25</v>
      </c>
      <c r="J125" s="10" t="n">
        <v>206250</v>
      </c>
      <c r="K125" s="11" t="n">
        <v>-4125</v>
      </c>
      <c r="L125" s="7" t="str">
        <f aca="false">TEXT(B125,"yyyy-mm")</f>
        <v>2024-11</v>
      </c>
    </row>
    <row r="126" customFormat="false" ht="15" hidden="false" customHeight="false" outlineLevel="0" collapsed="false">
      <c r="A126" s="7" t="s">
        <v>217</v>
      </c>
      <c r="B126" s="8" t="n">
        <v>45613</v>
      </c>
      <c r="C126" s="7" t="s">
        <v>118</v>
      </c>
      <c r="D126" s="7" t="s">
        <v>35</v>
      </c>
      <c r="E126" s="7" t="s">
        <v>42</v>
      </c>
      <c r="F126" s="7" t="s">
        <v>47</v>
      </c>
      <c r="G126" s="7" t="s">
        <v>98</v>
      </c>
      <c r="H126" s="7" t="n">
        <v>5</v>
      </c>
      <c r="I126" s="9" t="n">
        <v>0.25</v>
      </c>
      <c r="J126" s="10" t="n">
        <v>1312.5</v>
      </c>
      <c r="K126" s="11" t="n">
        <v>131.25</v>
      </c>
      <c r="L126" s="7" t="str">
        <f aca="false">TEXT(B126,"yyyy-mm")</f>
        <v>2024-11</v>
      </c>
    </row>
    <row r="127" customFormat="false" ht="15" hidden="false" customHeight="false" outlineLevel="0" collapsed="false">
      <c r="A127" s="7" t="s">
        <v>218</v>
      </c>
      <c r="B127" s="8" t="n">
        <v>45614</v>
      </c>
      <c r="C127" s="7" t="s">
        <v>121</v>
      </c>
      <c r="D127" s="7" t="s">
        <v>75</v>
      </c>
      <c r="E127" s="7" t="s">
        <v>58</v>
      </c>
      <c r="F127" s="7" t="s">
        <v>47</v>
      </c>
      <c r="G127" s="7" t="s">
        <v>48</v>
      </c>
      <c r="H127" s="7" t="n">
        <v>7</v>
      </c>
      <c r="I127" s="9" t="n">
        <v>0.1</v>
      </c>
      <c r="J127" s="10" t="n">
        <v>945</v>
      </c>
      <c r="K127" s="11" t="n">
        <v>207.9</v>
      </c>
      <c r="L127" s="7" t="str">
        <f aca="false">TEXT(B127,"yyyy-mm")</f>
        <v>2024-11</v>
      </c>
    </row>
    <row r="128" customFormat="false" ht="15" hidden="false" customHeight="false" outlineLevel="0" collapsed="false">
      <c r="A128" s="7" t="s">
        <v>219</v>
      </c>
      <c r="B128" s="8" t="n">
        <v>45617</v>
      </c>
      <c r="C128" s="7" t="s">
        <v>61</v>
      </c>
      <c r="D128" s="7" t="s">
        <v>75</v>
      </c>
      <c r="E128" s="7" t="s">
        <v>58</v>
      </c>
      <c r="F128" s="7" t="s">
        <v>43</v>
      </c>
      <c r="G128" s="7" t="s">
        <v>93</v>
      </c>
      <c r="H128" s="7" t="n">
        <v>5</v>
      </c>
      <c r="I128" s="9" t="n">
        <v>0.2</v>
      </c>
      <c r="J128" s="10" t="n">
        <v>6000</v>
      </c>
      <c r="K128" s="11" t="n">
        <v>120</v>
      </c>
      <c r="L128" s="7" t="str">
        <f aca="false">TEXT(B128,"yyyy-mm")</f>
        <v>2024-11</v>
      </c>
    </row>
    <row r="129" customFormat="false" ht="15" hidden="false" customHeight="false" outlineLevel="0" collapsed="false">
      <c r="A129" s="7" t="s">
        <v>220</v>
      </c>
      <c r="B129" s="8" t="n">
        <v>45618</v>
      </c>
      <c r="C129" s="7" t="s">
        <v>46</v>
      </c>
      <c r="D129" s="7" t="s">
        <v>41</v>
      </c>
      <c r="E129" s="7" t="s">
        <v>58</v>
      </c>
      <c r="F129" s="7" t="s">
        <v>37</v>
      </c>
      <c r="G129" s="7" t="s">
        <v>63</v>
      </c>
      <c r="H129" s="7" t="n">
        <v>8</v>
      </c>
      <c r="I129" s="9" t="n">
        <v>0.15</v>
      </c>
      <c r="J129" s="10" t="n">
        <v>102000</v>
      </c>
      <c r="K129" s="11" t="n">
        <v>10200</v>
      </c>
      <c r="L129" s="7" t="str">
        <f aca="false">TEXT(B129,"yyyy-mm")</f>
        <v>2024-11</v>
      </c>
    </row>
    <row r="130" customFormat="false" ht="15" hidden="false" customHeight="false" outlineLevel="0" collapsed="false">
      <c r="A130" s="7" t="s">
        <v>221</v>
      </c>
      <c r="B130" s="8" t="n">
        <v>45618</v>
      </c>
      <c r="C130" s="7" t="s">
        <v>74</v>
      </c>
      <c r="D130" s="7" t="s">
        <v>41</v>
      </c>
      <c r="E130" s="7" t="s">
        <v>36</v>
      </c>
      <c r="F130" s="7" t="s">
        <v>37</v>
      </c>
      <c r="G130" s="7" t="s">
        <v>72</v>
      </c>
      <c r="H130" s="7" t="n">
        <v>8</v>
      </c>
      <c r="I130" s="9" t="n">
        <v>0.2</v>
      </c>
      <c r="J130" s="10" t="n">
        <v>204800</v>
      </c>
      <c r="K130" s="11" t="n">
        <v>12288</v>
      </c>
      <c r="L130" s="7" t="str">
        <f aca="false">TEXT(B130,"yyyy-mm")</f>
        <v>2024-11</v>
      </c>
    </row>
    <row r="131" customFormat="false" ht="15" hidden="false" customHeight="false" outlineLevel="0" collapsed="false">
      <c r="A131" s="7" t="s">
        <v>222</v>
      </c>
      <c r="B131" s="8" t="n">
        <v>45618</v>
      </c>
      <c r="C131" s="7" t="s">
        <v>131</v>
      </c>
      <c r="D131" s="7" t="s">
        <v>35</v>
      </c>
      <c r="E131" s="7" t="s">
        <v>36</v>
      </c>
      <c r="F131" s="7" t="s">
        <v>37</v>
      </c>
      <c r="G131" s="7" t="s">
        <v>55</v>
      </c>
      <c r="H131" s="7" t="n">
        <v>1</v>
      </c>
      <c r="I131" s="9" t="n">
        <v>0.15</v>
      </c>
      <c r="J131" s="10" t="n">
        <v>6800</v>
      </c>
      <c r="K131" s="11" t="n">
        <v>680</v>
      </c>
      <c r="L131" s="7" t="str">
        <f aca="false">TEXT(B131,"yyyy-mm")</f>
        <v>2024-11</v>
      </c>
    </row>
    <row r="132" customFormat="false" ht="15" hidden="false" customHeight="false" outlineLevel="0" collapsed="false">
      <c r="A132" s="7" t="s">
        <v>223</v>
      </c>
      <c r="B132" s="8" t="n">
        <v>45619</v>
      </c>
      <c r="C132" s="7" t="s">
        <v>152</v>
      </c>
      <c r="D132" s="7" t="s">
        <v>41</v>
      </c>
      <c r="E132" s="7" t="s">
        <v>58</v>
      </c>
      <c r="F132" s="7" t="s">
        <v>47</v>
      </c>
      <c r="G132" s="7" t="s">
        <v>69</v>
      </c>
      <c r="H132" s="7" t="n">
        <v>4</v>
      </c>
      <c r="I132" s="9" t="n">
        <v>0.2</v>
      </c>
      <c r="J132" s="10" t="n">
        <v>640</v>
      </c>
      <c r="K132" s="11" t="n">
        <v>89.6</v>
      </c>
      <c r="L132" s="7" t="str">
        <f aca="false">TEXT(B132,"yyyy-mm")</f>
        <v>2024-11</v>
      </c>
    </row>
    <row r="133" customFormat="false" ht="15" hidden="false" customHeight="false" outlineLevel="0" collapsed="false">
      <c r="A133" s="7" t="s">
        <v>224</v>
      </c>
      <c r="B133" s="8" t="n">
        <v>45619</v>
      </c>
      <c r="C133" s="7" t="s">
        <v>166</v>
      </c>
      <c r="D133" s="7" t="s">
        <v>75</v>
      </c>
      <c r="E133" s="7" t="s">
        <v>58</v>
      </c>
      <c r="F133" s="7" t="s">
        <v>47</v>
      </c>
      <c r="G133" s="7" t="s">
        <v>69</v>
      </c>
      <c r="H133" s="7" t="n">
        <v>4</v>
      </c>
      <c r="I133" s="9" t="n">
        <v>0</v>
      </c>
      <c r="J133" s="10" t="n">
        <v>800</v>
      </c>
      <c r="K133" s="11" t="n">
        <v>240</v>
      </c>
      <c r="L133" s="7" t="str">
        <f aca="false">TEXT(B133,"yyyy-mm")</f>
        <v>2024-11</v>
      </c>
    </row>
    <row r="134" customFormat="false" ht="15" hidden="false" customHeight="false" outlineLevel="0" collapsed="false">
      <c r="A134" s="7" t="s">
        <v>225</v>
      </c>
      <c r="B134" s="8" t="n">
        <v>45619</v>
      </c>
      <c r="C134" s="7" t="s">
        <v>115</v>
      </c>
      <c r="D134" s="7" t="s">
        <v>41</v>
      </c>
      <c r="E134" s="7" t="s">
        <v>54</v>
      </c>
      <c r="F134" s="7" t="s">
        <v>37</v>
      </c>
      <c r="G134" s="7" t="s">
        <v>38</v>
      </c>
      <c r="H134" s="7" t="n">
        <v>2</v>
      </c>
      <c r="I134" s="9" t="n">
        <v>0.1</v>
      </c>
      <c r="J134" s="10" t="n">
        <v>10800</v>
      </c>
      <c r="K134" s="11" t="n">
        <v>1512</v>
      </c>
      <c r="L134" s="7" t="str">
        <f aca="false">TEXT(B134,"yyyy-mm")</f>
        <v>2024-11</v>
      </c>
    </row>
    <row r="135" customFormat="false" ht="15" hidden="false" customHeight="false" outlineLevel="0" collapsed="false">
      <c r="A135" s="7" t="s">
        <v>226</v>
      </c>
      <c r="B135" s="8" t="n">
        <v>45621</v>
      </c>
      <c r="C135" s="7" t="s">
        <v>71</v>
      </c>
      <c r="D135" s="7" t="s">
        <v>35</v>
      </c>
      <c r="E135" s="7" t="s">
        <v>58</v>
      </c>
      <c r="F135" s="7" t="s">
        <v>37</v>
      </c>
      <c r="G135" s="7" t="s">
        <v>63</v>
      </c>
      <c r="H135" s="7" t="n">
        <v>2</v>
      </c>
      <c r="I135" s="9" t="n">
        <v>0.2</v>
      </c>
      <c r="J135" s="10" t="n">
        <v>24000</v>
      </c>
      <c r="K135" s="11" t="n">
        <v>1440</v>
      </c>
      <c r="L135" s="7" t="str">
        <f aca="false">TEXT(B135,"yyyy-mm")</f>
        <v>2024-11</v>
      </c>
    </row>
    <row r="136" customFormat="false" ht="15" hidden="false" customHeight="false" outlineLevel="0" collapsed="false">
      <c r="A136" s="7" t="s">
        <v>227</v>
      </c>
      <c r="B136" s="8" t="n">
        <v>45622</v>
      </c>
      <c r="C136" s="7" t="s">
        <v>53</v>
      </c>
      <c r="D136" s="7" t="s">
        <v>41</v>
      </c>
      <c r="E136" s="7" t="s">
        <v>54</v>
      </c>
      <c r="F136" s="7" t="s">
        <v>43</v>
      </c>
      <c r="G136" s="7" t="s">
        <v>59</v>
      </c>
      <c r="H136" s="7" t="n">
        <v>4</v>
      </c>
      <c r="I136" s="9" t="n">
        <v>0.15</v>
      </c>
      <c r="J136" s="10" t="n">
        <v>187000</v>
      </c>
      <c r="K136" s="11" t="n">
        <v>11220</v>
      </c>
      <c r="L136" s="7" t="str">
        <f aca="false">TEXT(B136,"yyyy-mm")</f>
        <v>2024-11</v>
      </c>
    </row>
    <row r="137" customFormat="false" ht="15" hidden="false" customHeight="false" outlineLevel="0" collapsed="false">
      <c r="A137" s="7" t="s">
        <v>228</v>
      </c>
      <c r="B137" s="8" t="n">
        <v>45625</v>
      </c>
      <c r="C137" s="7" t="s">
        <v>118</v>
      </c>
      <c r="D137" s="7" t="s">
        <v>35</v>
      </c>
      <c r="E137" s="7" t="s">
        <v>36</v>
      </c>
      <c r="F137" s="7" t="s">
        <v>37</v>
      </c>
      <c r="G137" s="7" t="s">
        <v>72</v>
      </c>
      <c r="H137" s="7" t="n">
        <v>8</v>
      </c>
      <c r="I137" s="9" t="n">
        <v>0.1</v>
      </c>
      <c r="J137" s="10" t="n">
        <v>230400</v>
      </c>
      <c r="K137" s="11" t="n">
        <v>32256</v>
      </c>
      <c r="L137" s="7" t="str">
        <f aca="false">TEXT(B137,"yyyy-mm")</f>
        <v>2024-11</v>
      </c>
    </row>
    <row r="138" customFormat="false" ht="15" hidden="false" customHeight="false" outlineLevel="0" collapsed="false">
      <c r="A138" s="7" t="s">
        <v>229</v>
      </c>
      <c r="B138" s="8" t="n">
        <v>45626</v>
      </c>
      <c r="C138" s="7" t="s">
        <v>143</v>
      </c>
      <c r="D138" s="7" t="s">
        <v>41</v>
      </c>
      <c r="E138" s="7" t="s">
        <v>54</v>
      </c>
      <c r="F138" s="7" t="s">
        <v>37</v>
      </c>
      <c r="G138" s="7" t="s">
        <v>63</v>
      </c>
      <c r="H138" s="7" t="n">
        <v>1</v>
      </c>
      <c r="I138" s="9" t="n">
        <v>0.2</v>
      </c>
      <c r="J138" s="10" t="n">
        <v>12000</v>
      </c>
      <c r="K138" s="11" t="n">
        <v>720</v>
      </c>
      <c r="L138" s="7" t="str">
        <f aca="false">TEXT(B138,"yyyy-mm")</f>
        <v>2024-11</v>
      </c>
    </row>
    <row r="139" customFormat="false" ht="15" hidden="false" customHeight="false" outlineLevel="0" collapsed="false">
      <c r="A139" s="7" t="s">
        <v>230</v>
      </c>
      <c r="B139" s="8" t="n">
        <v>45627</v>
      </c>
      <c r="C139" s="7" t="s">
        <v>193</v>
      </c>
      <c r="D139" s="7" t="s">
        <v>35</v>
      </c>
      <c r="E139" s="7" t="s">
        <v>36</v>
      </c>
      <c r="F139" s="7" t="s">
        <v>47</v>
      </c>
      <c r="G139" s="7" t="s">
        <v>69</v>
      </c>
      <c r="H139" s="7" t="n">
        <v>4</v>
      </c>
      <c r="I139" s="9" t="n">
        <v>0.1</v>
      </c>
      <c r="J139" s="10" t="n">
        <v>720</v>
      </c>
      <c r="K139" s="11" t="n">
        <v>158.4</v>
      </c>
      <c r="L139" s="7" t="str">
        <f aca="false">TEXT(B139,"yyyy-mm")</f>
        <v>2024-12</v>
      </c>
    </row>
    <row r="140" customFormat="false" ht="15" hidden="false" customHeight="false" outlineLevel="0" collapsed="false">
      <c r="A140" s="7" t="s">
        <v>231</v>
      </c>
      <c r="B140" s="8" t="n">
        <v>45627</v>
      </c>
      <c r="C140" s="7" t="s">
        <v>101</v>
      </c>
      <c r="D140" s="7" t="s">
        <v>35</v>
      </c>
      <c r="E140" s="7" t="s">
        <v>54</v>
      </c>
      <c r="F140" s="7" t="s">
        <v>47</v>
      </c>
      <c r="G140" s="7" t="s">
        <v>128</v>
      </c>
      <c r="H140" s="7" t="n">
        <v>3</v>
      </c>
      <c r="I140" s="9" t="n">
        <v>0.15</v>
      </c>
      <c r="J140" s="10" t="n">
        <v>306</v>
      </c>
      <c r="K140" s="11" t="n">
        <v>55.08</v>
      </c>
      <c r="L140" s="7" t="str">
        <f aca="false">TEXT(B140,"yyyy-mm")</f>
        <v>2024-12</v>
      </c>
    </row>
    <row r="141" customFormat="false" ht="15" hidden="false" customHeight="false" outlineLevel="0" collapsed="false">
      <c r="A141" s="7" t="s">
        <v>232</v>
      </c>
      <c r="B141" s="8" t="n">
        <v>45628</v>
      </c>
      <c r="C141" s="7" t="s">
        <v>95</v>
      </c>
      <c r="D141" s="7" t="s">
        <v>75</v>
      </c>
      <c r="E141" s="7" t="s">
        <v>54</v>
      </c>
      <c r="F141" s="7" t="s">
        <v>47</v>
      </c>
      <c r="G141" s="7" t="s">
        <v>128</v>
      </c>
      <c r="H141" s="7" t="n">
        <v>7</v>
      </c>
      <c r="I141" s="9" t="n">
        <v>0</v>
      </c>
      <c r="J141" s="10" t="n">
        <v>840</v>
      </c>
      <c r="K141" s="11" t="n">
        <v>252</v>
      </c>
      <c r="L141" s="7" t="str">
        <f aca="false">TEXT(B141,"yyyy-mm")</f>
        <v>2024-12</v>
      </c>
    </row>
    <row r="142" customFormat="false" ht="15" hidden="false" customHeight="false" outlineLevel="0" collapsed="false">
      <c r="A142" s="7" t="s">
        <v>233</v>
      </c>
      <c r="B142" s="8" t="n">
        <v>45628</v>
      </c>
      <c r="C142" s="7" t="s">
        <v>95</v>
      </c>
      <c r="D142" s="7" t="s">
        <v>41</v>
      </c>
      <c r="E142" s="7" t="s">
        <v>36</v>
      </c>
      <c r="F142" s="7" t="s">
        <v>37</v>
      </c>
      <c r="G142" s="7" t="s">
        <v>63</v>
      </c>
      <c r="H142" s="7" t="n">
        <v>2</v>
      </c>
      <c r="I142" s="9" t="n">
        <v>0.05</v>
      </c>
      <c r="J142" s="10" t="n">
        <v>28500</v>
      </c>
      <c r="K142" s="11" t="n">
        <v>5130</v>
      </c>
      <c r="L142" s="7" t="str">
        <f aca="false">TEXT(B142,"yyyy-mm")</f>
        <v>2024-12</v>
      </c>
    </row>
    <row r="143" customFormat="false" ht="15" hidden="false" customHeight="false" outlineLevel="0" collapsed="false">
      <c r="A143" s="7" t="s">
        <v>234</v>
      </c>
      <c r="B143" s="8" t="n">
        <v>45630</v>
      </c>
      <c r="C143" s="7" t="s">
        <v>166</v>
      </c>
      <c r="D143" s="7" t="s">
        <v>41</v>
      </c>
      <c r="E143" s="7" t="s">
        <v>42</v>
      </c>
      <c r="F143" s="7" t="s">
        <v>37</v>
      </c>
      <c r="G143" s="7" t="s">
        <v>72</v>
      </c>
      <c r="H143" s="7" t="n">
        <v>3</v>
      </c>
      <c r="I143" s="9" t="n">
        <v>0.15</v>
      </c>
      <c r="J143" s="10" t="n">
        <v>81600</v>
      </c>
      <c r="K143" s="11" t="n">
        <v>8160</v>
      </c>
      <c r="L143" s="7" t="str">
        <f aca="false">TEXT(B143,"yyyy-mm")</f>
        <v>2024-12</v>
      </c>
    </row>
    <row r="144" customFormat="false" ht="15" hidden="false" customHeight="false" outlineLevel="0" collapsed="false">
      <c r="A144" s="7" t="s">
        <v>235</v>
      </c>
      <c r="B144" s="8" t="n">
        <v>45630</v>
      </c>
      <c r="C144" s="7" t="s">
        <v>166</v>
      </c>
      <c r="D144" s="7" t="s">
        <v>75</v>
      </c>
      <c r="E144" s="7" t="s">
        <v>54</v>
      </c>
      <c r="F144" s="7" t="s">
        <v>37</v>
      </c>
      <c r="G144" s="7" t="s">
        <v>38</v>
      </c>
      <c r="H144" s="7" t="n">
        <v>8</v>
      </c>
      <c r="I144" s="9" t="n">
        <v>0.15</v>
      </c>
      <c r="J144" s="10" t="n">
        <v>40800</v>
      </c>
      <c r="K144" s="11" t="n">
        <v>4080</v>
      </c>
      <c r="L144" s="7" t="str">
        <f aca="false">TEXT(B144,"yyyy-mm")</f>
        <v>2024-12</v>
      </c>
    </row>
    <row r="145" customFormat="false" ht="15" hidden="false" customHeight="false" outlineLevel="0" collapsed="false">
      <c r="A145" s="7" t="s">
        <v>236</v>
      </c>
      <c r="B145" s="8" t="n">
        <v>45631</v>
      </c>
      <c r="C145" s="7" t="s">
        <v>237</v>
      </c>
      <c r="D145" s="7" t="s">
        <v>75</v>
      </c>
      <c r="E145" s="7" t="s">
        <v>36</v>
      </c>
      <c r="F145" s="7" t="s">
        <v>43</v>
      </c>
      <c r="G145" s="7" t="s">
        <v>51</v>
      </c>
      <c r="H145" s="7" t="n">
        <v>5</v>
      </c>
      <c r="I145" s="9" t="n">
        <v>0.2</v>
      </c>
      <c r="J145" s="10" t="n">
        <v>14000</v>
      </c>
      <c r="K145" s="11" t="n">
        <v>280</v>
      </c>
      <c r="L145" s="7" t="str">
        <f aca="false">TEXT(B145,"yyyy-mm")</f>
        <v>2024-12</v>
      </c>
    </row>
    <row r="146" customFormat="false" ht="15" hidden="false" customHeight="false" outlineLevel="0" collapsed="false">
      <c r="A146" s="7" t="s">
        <v>238</v>
      </c>
      <c r="B146" s="8" t="n">
        <v>45633</v>
      </c>
      <c r="C146" s="7" t="s">
        <v>68</v>
      </c>
      <c r="D146" s="7" t="s">
        <v>75</v>
      </c>
      <c r="E146" s="7" t="s">
        <v>42</v>
      </c>
      <c r="F146" s="7" t="s">
        <v>47</v>
      </c>
      <c r="G146" s="7" t="s">
        <v>89</v>
      </c>
      <c r="H146" s="7" t="n">
        <v>2</v>
      </c>
      <c r="I146" s="9" t="n">
        <v>0</v>
      </c>
      <c r="J146" s="10" t="n">
        <v>500</v>
      </c>
      <c r="K146" s="11" t="n">
        <v>150</v>
      </c>
      <c r="L146" s="7" t="str">
        <f aca="false">TEXT(B146,"yyyy-mm")</f>
        <v>2024-12</v>
      </c>
    </row>
    <row r="147" customFormat="false" ht="15" hidden="false" customHeight="false" outlineLevel="0" collapsed="false">
      <c r="A147" s="7" t="s">
        <v>239</v>
      </c>
      <c r="B147" s="8" t="n">
        <v>45633</v>
      </c>
      <c r="C147" s="7" t="s">
        <v>202</v>
      </c>
      <c r="D147" s="7" t="s">
        <v>35</v>
      </c>
      <c r="E147" s="7" t="s">
        <v>42</v>
      </c>
      <c r="F147" s="7" t="s">
        <v>37</v>
      </c>
      <c r="G147" s="7" t="s">
        <v>55</v>
      </c>
      <c r="H147" s="7" t="n">
        <v>5</v>
      </c>
      <c r="I147" s="9" t="n">
        <v>0.05</v>
      </c>
      <c r="J147" s="10" t="n">
        <v>38000</v>
      </c>
      <c r="K147" s="11" t="n">
        <v>6840</v>
      </c>
      <c r="L147" s="7" t="str">
        <f aca="false">TEXT(B147,"yyyy-mm")</f>
        <v>2024-12</v>
      </c>
    </row>
    <row r="148" customFormat="false" ht="15" hidden="false" customHeight="false" outlineLevel="0" collapsed="false">
      <c r="A148" s="7" t="s">
        <v>240</v>
      </c>
      <c r="B148" s="8" t="n">
        <v>45634</v>
      </c>
      <c r="C148" s="7" t="s">
        <v>50</v>
      </c>
      <c r="D148" s="7" t="s">
        <v>41</v>
      </c>
      <c r="E148" s="7" t="s">
        <v>54</v>
      </c>
      <c r="F148" s="7" t="s">
        <v>37</v>
      </c>
      <c r="G148" s="7" t="s">
        <v>55</v>
      </c>
      <c r="H148" s="7" t="n">
        <v>7</v>
      </c>
      <c r="I148" s="9" t="n">
        <v>0.25</v>
      </c>
      <c r="J148" s="10" t="n">
        <v>42000</v>
      </c>
      <c r="K148" s="11" t="n">
        <v>840</v>
      </c>
      <c r="L148" s="7" t="str">
        <f aca="false">TEXT(B148,"yyyy-mm")</f>
        <v>2024-12</v>
      </c>
    </row>
    <row r="149" customFormat="false" ht="15" hidden="false" customHeight="false" outlineLevel="0" collapsed="false">
      <c r="A149" s="7" t="s">
        <v>241</v>
      </c>
      <c r="B149" s="8" t="n">
        <v>45634</v>
      </c>
      <c r="C149" s="7" t="s">
        <v>137</v>
      </c>
      <c r="D149" s="7" t="s">
        <v>41</v>
      </c>
      <c r="E149" s="7" t="s">
        <v>36</v>
      </c>
      <c r="F149" s="7" t="s">
        <v>43</v>
      </c>
      <c r="G149" s="7" t="s">
        <v>44</v>
      </c>
      <c r="H149" s="7" t="n">
        <v>3</v>
      </c>
      <c r="I149" s="9" t="n">
        <v>0.1</v>
      </c>
      <c r="J149" s="10" t="n">
        <v>75600</v>
      </c>
      <c r="K149" s="11" t="n">
        <v>7560</v>
      </c>
      <c r="L149" s="7" t="str">
        <f aca="false">TEXT(B149,"yyyy-mm")</f>
        <v>2024-12</v>
      </c>
    </row>
    <row r="150" customFormat="false" ht="15" hidden="false" customHeight="false" outlineLevel="0" collapsed="false">
      <c r="A150" s="7" t="s">
        <v>242</v>
      </c>
      <c r="B150" s="8" t="n">
        <v>45638</v>
      </c>
      <c r="C150" s="7" t="s">
        <v>87</v>
      </c>
      <c r="D150" s="7" t="s">
        <v>35</v>
      </c>
      <c r="E150" s="7" t="s">
        <v>36</v>
      </c>
      <c r="F150" s="7" t="s">
        <v>47</v>
      </c>
      <c r="G150" s="7" t="s">
        <v>48</v>
      </c>
      <c r="H150" s="7" t="n">
        <v>5</v>
      </c>
      <c r="I150" s="9" t="n">
        <v>0.1</v>
      </c>
      <c r="J150" s="10" t="n">
        <v>675</v>
      </c>
      <c r="K150" s="11" t="n">
        <v>148.5</v>
      </c>
      <c r="L150" s="7" t="str">
        <f aca="false">TEXT(B150,"yyyy-mm")</f>
        <v>2024-12</v>
      </c>
    </row>
    <row r="151" customFormat="false" ht="15" hidden="false" customHeight="false" outlineLevel="0" collapsed="false">
      <c r="A151" s="7" t="s">
        <v>243</v>
      </c>
      <c r="B151" s="8" t="n">
        <v>45638</v>
      </c>
      <c r="C151" s="7" t="s">
        <v>87</v>
      </c>
      <c r="D151" s="7" t="s">
        <v>35</v>
      </c>
      <c r="E151" s="7" t="s">
        <v>58</v>
      </c>
      <c r="F151" s="7" t="s">
        <v>47</v>
      </c>
      <c r="G151" s="7" t="s">
        <v>128</v>
      </c>
      <c r="H151" s="7" t="n">
        <v>6</v>
      </c>
      <c r="I151" s="9" t="n">
        <v>0</v>
      </c>
      <c r="J151" s="10" t="n">
        <v>720</v>
      </c>
      <c r="K151" s="11" t="n">
        <v>216</v>
      </c>
      <c r="L151" s="7" t="str">
        <f aca="false">TEXT(B151,"yyyy-mm")</f>
        <v>2024-12</v>
      </c>
    </row>
    <row r="152" customFormat="false" ht="15" hidden="false" customHeight="false" outlineLevel="0" collapsed="false">
      <c r="A152" s="7" t="s">
        <v>244</v>
      </c>
      <c r="B152" s="8" t="n">
        <v>45639</v>
      </c>
      <c r="C152" s="7" t="s">
        <v>46</v>
      </c>
      <c r="D152" s="7" t="s">
        <v>75</v>
      </c>
      <c r="E152" s="7" t="s">
        <v>54</v>
      </c>
      <c r="F152" s="7" t="s">
        <v>47</v>
      </c>
      <c r="G152" s="7" t="s">
        <v>98</v>
      </c>
      <c r="H152" s="7" t="n">
        <v>6</v>
      </c>
      <c r="I152" s="9" t="n">
        <v>0</v>
      </c>
      <c r="J152" s="10" t="n">
        <v>2100</v>
      </c>
      <c r="K152" s="11" t="n">
        <v>630</v>
      </c>
      <c r="L152" s="7" t="str">
        <f aca="false">TEXT(B152,"yyyy-mm")</f>
        <v>2024-12</v>
      </c>
    </row>
    <row r="153" customFormat="false" ht="15" hidden="false" customHeight="false" outlineLevel="0" collapsed="false">
      <c r="A153" s="7" t="s">
        <v>245</v>
      </c>
      <c r="B153" s="8" t="n">
        <v>45639</v>
      </c>
      <c r="C153" s="7" t="s">
        <v>95</v>
      </c>
      <c r="D153" s="7" t="s">
        <v>35</v>
      </c>
      <c r="E153" s="7" t="s">
        <v>54</v>
      </c>
      <c r="F153" s="7" t="s">
        <v>37</v>
      </c>
      <c r="G153" s="7" t="s">
        <v>55</v>
      </c>
      <c r="H153" s="7" t="n">
        <v>3</v>
      </c>
      <c r="I153" s="9" t="n">
        <v>0</v>
      </c>
      <c r="J153" s="10" t="n">
        <v>24000</v>
      </c>
      <c r="K153" s="11" t="n">
        <v>5280</v>
      </c>
      <c r="L153" s="7" t="str">
        <f aca="false">TEXT(B153,"yyyy-mm")</f>
        <v>2024-12</v>
      </c>
    </row>
    <row r="154" customFormat="false" ht="15" hidden="false" customHeight="false" outlineLevel="0" collapsed="false">
      <c r="A154" s="7" t="s">
        <v>246</v>
      </c>
      <c r="B154" s="8" t="n">
        <v>45641</v>
      </c>
      <c r="C154" s="7" t="s">
        <v>166</v>
      </c>
      <c r="D154" s="7" t="s">
        <v>35</v>
      </c>
      <c r="E154" s="7" t="s">
        <v>58</v>
      </c>
      <c r="F154" s="7" t="s">
        <v>47</v>
      </c>
      <c r="G154" s="7" t="s">
        <v>89</v>
      </c>
      <c r="H154" s="7" t="n">
        <v>6</v>
      </c>
      <c r="I154" s="9" t="n">
        <v>0</v>
      </c>
      <c r="J154" s="10" t="n">
        <v>1500</v>
      </c>
      <c r="K154" s="11" t="n">
        <v>450</v>
      </c>
      <c r="L154" s="7" t="str">
        <f aca="false">TEXT(B154,"yyyy-mm")</f>
        <v>2024-12</v>
      </c>
    </row>
    <row r="155" customFormat="false" ht="15" hidden="false" customHeight="false" outlineLevel="0" collapsed="false">
      <c r="A155" s="7" t="s">
        <v>247</v>
      </c>
      <c r="B155" s="8" t="n">
        <v>45642</v>
      </c>
      <c r="C155" s="7" t="s">
        <v>77</v>
      </c>
      <c r="D155" s="7" t="s">
        <v>41</v>
      </c>
      <c r="E155" s="7" t="s">
        <v>36</v>
      </c>
      <c r="F155" s="7" t="s">
        <v>37</v>
      </c>
      <c r="G155" s="7" t="s">
        <v>111</v>
      </c>
      <c r="H155" s="7" t="n">
        <v>3</v>
      </c>
      <c r="I155" s="9" t="n">
        <v>0.25</v>
      </c>
      <c r="J155" s="10" t="n">
        <v>4050</v>
      </c>
      <c r="K155" s="11" t="n">
        <v>81</v>
      </c>
      <c r="L155" s="7" t="str">
        <f aca="false">TEXT(B155,"yyyy-mm")</f>
        <v>2024-12</v>
      </c>
    </row>
    <row r="156" customFormat="false" ht="15" hidden="false" customHeight="false" outlineLevel="0" collapsed="false">
      <c r="A156" s="7" t="s">
        <v>248</v>
      </c>
      <c r="B156" s="8" t="n">
        <v>45643</v>
      </c>
      <c r="C156" s="7" t="s">
        <v>172</v>
      </c>
      <c r="D156" s="7" t="s">
        <v>41</v>
      </c>
      <c r="E156" s="7" t="s">
        <v>54</v>
      </c>
      <c r="F156" s="7" t="s">
        <v>37</v>
      </c>
      <c r="G156" s="7" t="s">
        <v>72</v>
      </c>
      <c r="H156" s="7" t="n">
        <v>6</v>
      </c>
      <c r="I156" s="9" t="n">
        <v>0</v>
      </c>
      <c r="J156" s="10" t="n">
        <v>192000</v>
      </c>
      <c r="K156" s="11" t="n">
        <v>42240</v>
      </c>
      <c r="L156" s="7" t="str">
        <f aca="false">TEXT(B156,"yyyy-mm")</f>
        <v>2024-12</v>
      </c>
    </row>
    <row r="157" customFormat="false" ht="15" hidden="false" customHeight="false" outlineLevel="0" collapsed="false">
      <c r="A157" s="7" t="s">
        <v>249</v>
      </c>
      <c r="B157" s="8" t="n">
        <v>45643</v>
      </c>
      <c r="C157" s="7" t="s">
        <v>50</v>
      </c>
      <c r="D157" s="7" t="s">
        <v>41</v>
      </c>
      <c r="E157" s="7" t="s">
        <v>36</v>
      </c>
      <c r="F157" s="7" t="s">
        <v>37</v>
      </c>
      <c r="G157" s="7" t="s">
        <v>55</v>
      </c>
      <c r="H157" s="7" t="n">
        <v>2</v>
      </c>
      <c r="I157" s="9" t="n">
        <v>0.25</v>
      </c>
      <c r="J157" s="10" t="n">
        <v>12000</v>
      </c>
      <c r="K157" s="11" t="n">
        <v>240</v>
      </c>
      <c r="L157" s="7" t="str">
        <f aca="false">TEXT(B157,"yyyy-mm")</f>
        <v>2024-12</v>
      </c>
    </row>
    <row r="158" customFormat="false" ht="15" hidden="false" customHeight="false" outlineLevel="0" collapsed="false">
      <c r="A158" s="7" t="s">
        <v>250</v>
      </c>
      <c r="B158" s="8" t="n">
        <v>45643</v>
      </c>
      <c r="C158" s="7" t="s">
        <v>110</v>
      </c>
      <c r="D158" s="7" t="s">
        <v>35</v>
      </c>
      <c r="E158" s="7" t="s">
        <v>42</v>
      </c>
      <c r="F158" s="7" t="s">
        <v>47</v>
      </c>
      <c r="G158" s="7" t="s">
        <v>89</v>
      </c>
      <c r="H158" s="7" t="n">
        <v>2</v>
      </c>
      <c r="I158" s="9" t="n">
        <v>0.2</v>
      </c>
      <c r="J158" s="10" t="n">
        <v>400</v>
      </c>
      <c r="K158" s="11" t="n">
        <v>56</v>
      </c>
      <c r="L158" s="7" t="str">
        <f aca="false">TEXT(B158,"yyyy-mm")</f>
        <v>2024-12</v>
      </c>
    </row>
    <row r="159" customFormat="false" ht="15" hidden="false" customHeight="false" outlineLevel="0" collapsed="false">
      <c r="A159" s="7" t="s">
        <v>251</v>
      </c>
      <c r="B159" s="8" t="n">
        <v>45645</v>
      </c>
      <c r="C159" s="7" t="s">
        <v>50</v>
      </c>
      <c r="D159" s="7" t="s">
        <v>75</v>
      </c>
      <c r="E159" s="7" t="s">
        <v>54</v>
      </c>
      <c r="F159" s="7" t="s">
        <v>37</v>
      </c>
      <c r="G159" s="7" t="s">
        <v>55</v>
      </c>
      <c r="H159" s="7" t="n">
        <v>7</v>
      </c>
      <c r="I159" s="9" t="n">
        <v>0.25</v>
      </c>
      <c r="J159" s="10" t="n">
        <v>42000</v>
      </c>
      <c r="K159" s="11" t="n">
        <v>840</v>
      </c>
      <c r="L159" s="7" t="str">
        <f aca="false">TEXT(B159,"yyyy-mm")</f>
        <v>2024-12</v>
      </c>
    </row>
    <row r="160" customFormat="false" ht="15" hidden="false" customHeight="false" outlineLevel="0" collapsed="false">
      <c r="A160" s="7" t="s">
        <v>252</v>
      </c>
      <c r="B160" s="8" t="n">
        <v>45647</v>
      </c>
      <c r="C160" s="7" t="s">
        <v>34</v>
      </c>
      <c r="D160" s="7" t="s">
        <v>35</v>
      </c>
      <c r="E160" s="7" t="s">
        <v>54</v>
      </c>
      <c r="F160" s="7" t="s">
        <v>43</v>
      </c>
      <c r="G160" s="7" t="s">
        <v>44</v>
      </c>
      <c r="H160" s="7" t="n">
        <v>2</v>
      </c>
      <c r="I160" s="9" t="n">
        <v>0.1</v>
      </c>
      <c r="J160" s="10" t="n">
        <v>50400</v>
      </c>
      <c r="K160" s="11" t="n">
        <v>5040</v>
      </c>
      <c r="L160" s="7" t="str">
        <f aca="false">TEXT(B160,"yyyy-mm")</f>
        <v>2024-12</v>
      </c>
    </row>
    <row r="161" customFormat="false" ht="15" hidden="false" customHeight="false" outlineLevel="0" collapsed="false">
      <c r="A161" s="7" t="s">
        <v>253</v>
      </c>
      <c r="B161" s="8" t="n">
        <v>45647</v>
      </c>
      <c r="C161" s="7" t="s">
        <v>143</v>
      </c>
      <c r="D161" s="7" t="s">
        <v>35</v>
      </c>
      <c r="E161" s="7" t="s">
        <v>36</v>
      </c>
      <c r="F161" s="7" t="s">
        <v>37</v>
      </c>
      <c r="G161" s="7" t="s">
        <v>55</v>
      </c>
      <c r="H161" s="7" t="n">
        <v>3</v>
      </c>
      <c r="I161" s="9" t="n">
        <v>0.05</v>
      </c>
      <c r="J161" s="10" t="n">
        <v>22800</v>
      </c>
      <c r="K161" s="11" t="n">
        <v>4104</v>
      </c>
      <c r="L161" s="7" t="str">
        <f aca="false">TEXT(B161,"yyyy-mm")</f>
        <v>2024-12</v>
      </c>
    </row>
    <row r="162" customFormat="false" ht="15" hidden="false" customHeight="false" outlineLevel="0" collapsed="false">
      <c r="A162" s="7" t="s">
        <v>254</v>
      </c>
      <c r="B162" s="8" t="n">
        <v>45648</v>
      </c>
      <c r="C162" s="7" t="s">
        <v>65</v>
      </c>
      <c r="D162" s="7" t="s">
        <v>41</v>
      </c>
      <c r="E162" s="7" t="s">
        <v>58</v>
      </c>
      <c r="F162" s="7" t="s">
        <v>47</v>
      </c>
      <c r="G162" s="7" t="s">
        <v>69</v>
      </c>
      <c r="H162" s="7" t="n">
        <v>8</v>
      </c>
      <c r="I162" s="9" t="n">
        <v>0</v>
      </c>
      <c r="J162" s="10" t="n">
        <v>1600</v>
      </c>
      <c r="K162" s="11" t="n">
        <v>480</v>
      </c>
      <c r="L162" s="7" t="str">
        <f aca="false">TEXT(B162,"yyyy-mm")</f>
        <v>2024-12</v>
      </c>
    </row>
    <row r="163" customFormat="false" ht="15" hidden="false" customHeight="false" outlineLevel="0" collapsed="false">
      <c r="A163" s="7" t="s">
        <v>255</v>
      </c>
      <c r="B163" s="8" t="n">
        <v>45648</v>
      </c>
      <c r="C163" s="7" t="s">
        <v>97</v>
      </c>
      <c r="D163" s="7" t="s">
        <v>35</v>
      </c>
      <c r="E163" s="7" t="s">
        <v>54</v>
      </c>
      <c r="F163" s="7" t="s">
        <v>43</v>
      </c>
      <c r="G163" s="7" t="s">
        <v>93</v>
      </c>
      <c r="H163" s="7" t="n">
        <v>7</v>
      </c>
      <c r="I163" s="9" t="n">
        <v>0.1</v>
      </c>
      <c r="J163" s="10" t="n">
        <v>9450</v>
      </c>
      <c r="K163" s="11" t="n">
        <v>945</v>
      </c>
      <c r="L163" s="7" t="str">
        <f aca="false">TEXT(B163,"yyyy-mm")</f>
        <v>2024-12</v>
      </c>
    </row>
    <row r="164" customFormat="false" ht="15" hidden="false" customHeight="false" outlineLevel="0" collapsed="false">
      <c r="A164" s="7" t="s">
        <v>256</v>
      </c>
      <c r="B164" s="8" t="n">
        <v>45648</v>
      </c>
      <c r="C164" s="7" t="s">
        <v>79</v>
      </c>
      <c r="D164" s="7" t="s">
        <v>75</v>
      </c>
      <c r="E164" s="7" t="s">
        <v>54</v>
      </c>
      <c r="F164" s="7" t="s">
        <v>47</v>
      </c>
      <c r="G164" s="7" t="s">
        <v>128</v>
      </c>
      <c r="H164" s="7" t="n">
        <v>3</v>
      </c>
      <c r="I164" s="9" t="n">
        <v>0.1</v>
      </c>
      <c r="J164" s="10" t="n">
        <v>324</v>
      </c>
      <c r="K164" s="11" t="n">
        <v>71.28</v>
      </c>
      <c r="L164" s="7" t="str">
        <f aca="false">TEXT(B164,"yyyy-mm")</f>
        <v>2024-12</v>
      </c>
    </row>
    <row r="165" customFormat="false" ht="15" hidden="false" customHeight="false" outlineLevel="0" collapsed="false">
      <c r="A165" s="7" t="s">
        <v>257</v>
      </c>
      <c r="B165" s="8" t="n">
        <v>45648</v>
      </c>
      <c r="C165" s="7" t="s">
        <v>101</v>
      </c>
      <c r="D165" s="7" t="s">
        <v>41</v>
      </c>
      <c r="E165" s="7" t="s">
        <v>36</v>
      </c>
      <c r="F165" s="7" t="s">
        <v>43</v>
      </c>
      <c r="G165" s="7" t="s">
        <v>66</v>
      </c>
      <c r="H165" s="7" t="n">
        <v>8</v>
      </c>
      <c r="I165" s="9" t="n">
        <v>0.15</v>
      </c>
      <c r="J165" s="10" t="n">
        <v>81600</v>
      </c>
      <c r="K165" s="11" t="n">
        <v>4896</v>
      </c>
      <c r="L165" s="7" t="str">
        <f aca="false">TEXT(B165,"yyyy-mm")</f>
        <v>2024-12</v>
      </c>
    </row>
    <row r="166" customFormat="false" ht="15" hidden="false" customHeight="false" outlineLevel="0" collapsed="false">
      <c r="A166" s="7" t="s">
        <v>258</v>
      </c>
      <c r="B166" s="8" t="n">
        <v>45650</v>
      </c>
      <c r="C166" s="7" t="s">
        <v>53</v>
      </c>
      <c r="D166" s="7" t="s">
        <v>35</v>
      </c>
      <c r="E166" s="7" t="s">
        <v>36</v>
      </c>
      <c r="F166" s="7" t="s">
        <v>37</v>
      </c>
      <c r="G166" s="7" t="s">
        <v>38</v>
      </c>
      <c r="H166" s="7" t="n">
        <v>8</v>
      </c>
      <c r="I166" s="9" t="n">
        <v>0.1</v>
      </c>
      <c r="J166" s="10" t="n">
        <v>43200</v>
      </c>
      <c r="K166" s="11" t="n">
        <v>6048</v>
      </c>
      <c r="L166" s="7" t="str">
        <f aca="false">TEXT(B166,"yyyy-mm")</f>
        <v>2024-12</v>
      </c>
    </row>
    <row r="167" customFormat="false" ht="15" hidden="false" customHeight="false" outlineLevel="0" collapsed="false">
      <c r="A167" s="7" t="s">
        <v>259</v>
      </c>
      <c r="B167" s="8" t="n">
        <v>45651</v>
      </c>
      <c r="C167" s="7" t="s">
        <v>101</v>
      </c>
      <c r="D167" s="7" t="s">
        <v>41</v>
      </c>
      <c r="E167" s="7" t="s">
        <v>54</v>
      </c>
      <c r="F167" s="7" t="s">
        <v>37</v>
      </c>
      <c r="G167" s="7" t="s">
        <v>72</v>
      </c>
      <c r="H167" s="7" t="n">
        <v>1</v>
      </c>
      <c r="I167" s="9" t="n">
        <v>0.15</v>
      </c>
      <c r="J167" s="10" t="n">
        <v>27200</v>
      </c>
      <c r="K167" s="11" t="n">
        <v>2720</v>
      </c>
      <c r="L167" s="7" t="str">
        <f aca="false">TEXT(B167,"yyyy-mm")</f>
        <v>2024-12</v>
      </c>
    </row>
    <row r="168" customFormat="false" ht="15" hidden="false" customHeight="false" outlineLevel="0" collapsed="false">
      <c r="A168" s="7" t="s">
        <v>260</v>
      </c>
      <c r="B168" s="8" t="n">
        <v>45655</v>
      </c>
      <c r="C168" s="7" t="s">
        <v>172</v>
      </c>
      <c r="D168" s="7" t="s">
        <v>75</v>
      </c>
      <c r="E168" s="7" t="s">
        <v>36</v>
      </c>
      <c r="F168" s="7" t="s">
        <v>43</v>
      </c>
      <c r="G168" s="7" t="s">
        <v>51</v>
      </c>
      <c r="H168" s="7" t="n">
        <v>5</v>
      </c>
      <c r="I168" s="9" t="n">
        <v>0.25</v>
      </c>
      <c r="J168" s="10" t="n">
        <v>13125</v>
      </c>
      <c r="K168" s="11" t="n">
        <v>-262.5</v>
      </c>
      <c r="L168" s="7" t="str">
        <f aca="false">TEXT(B168,"yyyy-mm")</f>
        <v>2024-12</v>
      </c>
    </row>
    <row r="169" customFormat="false" ht="15" hidden="false" customHeight="false" outlineLevel="0" collapsed="false">
      <c r="A169" s="7" t="s">
        <v>261</v>
      </c>
      <c r="B169" s="8" t="n">
        <v>45656</v>
      </c>
      <c r="C169" s="7" t="s">
        <v>82</v>
      </c>
      <c r="D169" s="7" t="s">
        <v>35</v>
      </c>
      <c r="E169" s="7" t="s">
        <v>42</v>
      </c>
      <c r="F169" s="7" t="s">
        <v>47</v>
      </c>
      <c r="G169" s="7" t="s">
        <v>98</v>
      </c>
      <c r="H169" s="7" t="n">
        <v>5</v>
      </c>
      <c r="I169" s="9" t="n">
        <v>0</v>
      </c>
      <c r="J169" s="10" t="n">
        <v>1750</v>
      </c>
      <c r="K169" s="11" t="n">
        <v>525</v>
      </c>
      <c r="L169" s="7" t="str">
        <f aca="false">TEXT(B169,"yyyy-mm")</f>
        <v>2024-12</v>
      </c>
    </row>
  </sheetData>
  <autoFilter ref="A1:K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4"/>
    <col collapsed="false" customWidth="true" hidden="false" outlineLevel="0" max="4" min="4" style="0" width="13"/>
  </cols>
  <sheetData>
    <row r="1" customFormat="false" ht="17.35" hidden="false" customHeight="false" outlineLevel="0" collapsed="false">
      <c r="A1" s="12" t="s">
        <v>262</v>
      </c>
    </row>
    <row r="2" customFormat="false" ht="15" hidden="false" customHeight="false" outlineLevel="0" collapsed="false">
      <c r="A2" s="13" t="s">
        <v>263</v>
      </c>
    </row>
    <row r="4" customFormat="false" ht="15" hidden="false" customHeight="false" outlineLevel="0" collapsed="false">
      <c r="A4" s="14" t="s">
        <v>264</v>
      </c>
    </row>
    <row r="5" customFormat="false" ht="15" hidden="false" customHeight="false" outlineLevel="0" collapsed="false">
      <c r="A5" s="5" t="s">
        <v>26</v>
      </c>
      <c r="B5" s="5" t="s">
        <v>265</v>
      </c>
      <c r="C5" s="5" t="s">
        <v>266</v>
      </c>
      <c r="D5" s="5" t="s">
        <v>267</v>
      </c>
    </row>
    <row r="6" customFormat="false" ht="15" hidden="false" customHeight="false" outlineLevel="0" collapsed="false">
      <c r="A6" s="7" t="s">
        <v>43</v>
      </c>
      <c r="B6" s="15" t="n">
        <f aca="false">SUMIF('Sales Data'!$F$2:$F$169,A6,'Sales Data'!$J$2:$J$169)</f>
        <v>3427775</v>
      </c>
      <c r="C6" s="16" t="n">
        <f aca="false">SUMIF('Sales Data'!$F$2:$F$169,A6,'Sales Data'!$K$2:$K$169)</f>
        <v>266322.5</v>
      </c>
      <c r="D6" s="17" t="n">
        <f aca="false">IF(B6=0,0,C6/B6)</f>
        <v>0.0776954438374748</v>
      </c>
    </row>
    <row r="7" customFormat="false" ht="15" hidden="false" customHeight="false" outlineLevel="0" collapsed="false">
      <c r="A7" s="7" t="s">
        <v>37</v>
      </c>
      <c r="B7" s="15" t="n">
        <f aca="false">SUMIF('Sales Data'!$F$2:$F$169,A7,'Sales Data'!$J$2:$J$169)</f>
        <v>3981990</v>
      </c>
      <c r="C7" s="16" t="n">
        <f aca="false">SUMIF('Sales Data'!$F$2:$F$169,A7,'Sales Data'!$K$2:$K$169)</f>
        <v>523483.8</v>
      </c>
      <c r="D7" s="17" t="n">
        <f aca="false">IF(B7=0,0,C7/B7)</f>
        <v>0.131462861534057</v>
      </c>
    </row>
    <row r="8" customFormat="false" ht="15" hidden="false" customHeight="false" outlineLevel="0" collapsed="false">
      <c r="A8" s="7" t="s">
        <v>47</v>
      </c>
      <c r="B8" s="15" t="n">
        <f aca="false">SUMIF('Sales Data'!$F$2:$F$169,A8,'Sales Data'!$J$2:$J$169)</f>
        <v>51517.5</v>
      </c>
      <c r="C8" s="16" t="n">
        <f aca="false">SUMIF('Sales Data'!$F$2:$F$169,A8,'Sales Data'!$K$2:$K$169)</f>
        <v>11530.91</v>
      </c>
      <c r="D8" s="17" t="n">
        <f aca="false">IF(B8=0,0,C8/B8)</f>
        <v>0.223825107973019</v>
      </c>
    </row>
    <row r="9" customFormat="false" ht="15" hidden="false" customHeight="false" outlineLevel="0" collapsed="false">
      <c r="A9" s="14" t="s">
        <v>268</v>
      </c>
      <c r="B9" s="18" t="n">
        <f aca="false">SUM(B6:B8)</f>
        <v>7461282.5</v>
      </c>
      <c r="C9" s="19" t="n">
        <f aca="false">SUM(C6:C8)</f>
        <v>801337.21</v>
      </c>
      <c r="D9" s="20" t="n">
        <f aca="false">IF(B9=0,0,C9/B9)</f>
        <v>0.107399392798758</v>
      </c>
    </row>
    <row r="12" customFormat="false" ht="15" hidden="false" customHeight="false" outlineLevel="0" collapsed="false">
      <c r="A12" s="14" t="s">
        <v>269</v>
      </c>
    </row>
    <row r="13" customFormat="false" ht="15" hidden="false" customHeight="false" outlineLevel="0" collapsed="false">
      <c r="A13" s="5" t="s">
        <v>26</v>
      </c>
      <c r="B13" s="5" t="s">
        <v>265</v>
      </c>
      <c r="C13" s="5" t="s">
        <v>266</v>
      </c>
      <c r="D13" s="5" t="s">
        <v>267</v>
      </c>
    </row>
    <row r="14" customFormat="false" ht="15" hidden="false" customHeight="false" outlineLevel="0" collapsed="false">
      <c r="A14" s="7" t="s">
        <v>58</v>
      </c>
      <c r="B14" s="15" t="n">
        <f aca="false">SUMIF('Sales Data'!$E$2:$E$169,A14,'Sales Data'!$J$2:$J$169)</f>
        <v>1183155</v>
      </c>
      <c r="C14" s="16" t="n">
        <f aca="false">SUMIF('Sales Data'!$E$2:$E$169,A14,'Sales Data'!$K$2:$K$169)</f>
        <v>82987.3</v>
      </c>
      <c r="D14" s="17" t="n">
        <f aca="false">IF(B14=0,0,C14/B14)</f>
        <v>0.0701406831733797</v>
      </c>
    </row>
    <row r="15" customFormat="false" ht="15" hidden="false" customHeight="false" outlineLevel="0" collapsed="false">
      <c r="A15" s="7" t="s">
        <v>42</v>
      </c>
      <c r="B15" s="15" t="n">
        <f aca="false">SUMIF('Sales Data'!$E$2:$E$169,A15,'Sales Data'!$J$2:$J$169)</f>
        <v>1702477.5</v>
      </c>
      <c r="C15" s="16" t="n">
        <f aca="false">SUMIF('Sales Data'!$E$2:$E$169,A15,'Sales Data'!$K$2:$K$169)</f>
        <v>161413.15</v>
      </c>
      <c r="D15" s="17" t="n">
        <f aca="false">IF(B15=0,0,C15/B15)</f>
        <v>0.0948107390552885</v>
      </c>
    </row>
    <row r="16" customFormat="false" ht="15" hidden="false" customHeight="false" outlineLevel="0" collapsed="false">
      <c r="A16" s="7" t="s">
        <v>36</v>
      </c>
      <c r="B16" s="15" t="n">
        <f aca="false">SUMIF('Sales Data'!$E$2:$E$169,A16,'Sales Data'!$J$2:$J$169)</f>
        <v>2800150.5</v>
      </c>
      <c r="C16" s="16" t="n">
        <f aca="false">SUMIF('Sales Data'!$E$2:$E$169,A16,'Sales Data'!$K$2:$K$169)</f>
        <v>363976.33</v>
      </c>
      <c r="D16" s="17" t="n">
        <f aca="false">IF(B16=0,0,C16/B16)</f>
        <v>0.129984559758484</v>
      </c>
    </row>
    <row r="17" customFormat="false" ht="15" hidden="false" customHeight="false" outlineLevel="0" collapsed="false">
      <c r="A17" s="7" t="s">
        <v>54</v>
      </c>
      <c r="B17" s="15" t="n">
        <f aca="false">SUMIF('Sales Data'!$E$2:$E$169,A17,'Sales Data'!$J$2:$J$169)</f>
        <v>1775499.5</v>
      </c>
      <c r="C17" s="16" t="n">
        <f aca="false">SUMIF('Sales Data'!$E$2:$E$169,A17,'Sales Data'!$K$2:$K$169)</f>
        <v>192960.43</v>
      </c>
      <c r="D17" s="17" t="n">
        <f aca="false">IF(B17=0,0,C17/B17)</f>
        <v>0.108679518073646</v>
      </c>
    </row>
    <row r="18" customFormat="false" ht="15" hidden="false" customHeight="false" outlineLevel="0" collapsed="false">
      <c r="A18" s="14" t="s">
        <v>268</v>
      </c>
      <c r="B18" s="18" t="n">
        <f aca="false">SUM(B14:B17)</f>
        <v>7461282.5</v>
      </c>
      <c r="C18" s="19" t="n">
        <f aca="false">SUM(C14:C17)</f>
        <v>801337.21</v>
      </c>
      <c r="D18" s="20" t="n">
        <f aca="false">IF(B18=0,0,C18/B18)</f>
        <v>0.107399392798758</v>
      </c>
    </row>
    <row r="21" customFormat="false" ht="15" hidden="false" customHeight="false" outlineLevel="0" collapsed="false">
      <c r="A21" s="14" t="s">
        <v>270</v>
      </c>
    </row>
    <row r="22" customFormat="false" ht="15" hidden="false" customHeight="false" outlineLevel="0" collapsed="false">
      <c r="A22" s="5" t="s">
        <v>32</v>
      </c>
      <c r="B22" s="5" t="s">
        <v>265</v>
      </c>
    </row>
    <row r="23" customFormat="false" ht="15" hidden="false" customHeight="false" outlineLevel="0" collapsed="false">
      <c r="A23" s="7" t="s">
        <v>271</v>
      </c>
      <c r="B23" s="15" t="n">
        <f aca="false">SUMIF('Sales Data'!$L$2:$L$169,A23,'Sales Data'!$J$2:$J$169)</f>
        <v>761985</v>
      </c>
    </row>
    <row r="24" customFormat="false" ht="15" hidden="false" customHeight="false" outlineLevel="0" collapsed="false">
      <c r="A24" s="7" t="s">
        <v>272</v>
      </c>
      <c r="B24" s="15" t="n">
        <f aca="false">SUMIF('Sales Data'!$L$2:$L$169,A24,'Sales Data'!$J$2:$J$169)</f>
        <v>263972.5</v>
      </c>
    </row>
    <row r="25" customFormat="false" ht="15" hidden="false" customHeight="false" outlineLevel="0" collapsed="false">
      <c r="A25" s="7" t="s">
        <v>273</v>
      </c>
      <c r="B25" s="15" t="n">
        <f aca="false">SUMIF('Sales Data'!$L$2:$L$169,A25,'Sales Data'!$J$2:$J$169)</f>
        <v>497267.5</v>
      </c>
    </row>
    <row r="26" customFormat="false" ht="15" hidden="false" customHeight="false" outlineLevel="0" collapsed="false">
      <c r="A26" s="7" t="s">
        <v>274</v>
      </c>
      <c r="B26" s="15" t="n">
        <f aca="false">SUMIF('Sales Data'!$L$2:$L$169,A26,'Sales Data'!$J$2:$J$169)</f>
        <v>372525</v>
      </c>
    </row>
    <row r="27" customFormat="false" ht="15" hidden="false" customHeight="false" outlineLevel="0" collapsed="false">
      <c r="A27" s="7" t="s">
        <v>275</v>
      </c>
      <c r="B27" s="15" t="n">
        <f aca="false">SUMIF('Sales Data'!$L$2:$L$169,A27,'Sales Data'!$J$2:$J$169)</f>
        <v>1195053</v>
      </c>
    </row>
    <row r="28" customFormat="false" ht="15" hidden="false" customHeight="false" outlineLevel="0" collapsed="false">
      <c r="A28" s="7" t="s">
        <v>276</v>
      </c>
      <c r="B28" s="15" t="n">
        <f aca="false">SUMIF('Sales Data'!$L$2:$L$169,A28,'Sales Data'!$J$2:$J$169)</f>
        <v>85342</v>
      </c>
    </row>
    <row r="29" customFormat="false" ht="15" hidden="false" customHeight="false" outlineLevel="0" collapsed="false">
      <c r="A29" s="7" t="s">
        <v>277</v>
      </c>
      <c r="B29" s="15" t="n">
        <f aca="false">SUMIF('Sales Data'!$L$2:$L$169,A29,'Sales Data'!$J$2:$J$169)</f>
        <v>486750</v>
      </c>
    </row>
    <row r="30" customFormat="false" ht="15" hidden="false" customHeight="false" outlineLevel="0" collapsed="false">
      <c r="A30" s="7" t="s">
        <v>278</v>
      </c>
      <c r="B30" s="15" t="n">
        <f aca="false">SUMIF('Sales Data'!$L$2:$L$169,A30,'Sales Data'!$J$2:$J$169)</f>
        <v>448002.5</v>
      </c>
    </row>
    <row r="31" customFormat="false" ht="15" hidden="false" customHeight="false" outlineLevel="0" collapsed="false">
      <c r="A31" s="7" t="s">
        <v>279</v>
      </c>
      <c r="B31" s="15" t="n">
        <f aca="false">SUMIF('Sales Data'!$L$2:$L$169,A31,'Sales Data'!$J$2:$J$169)</f>
        <v>637380</v>
      </c>
    </row>
    <row r="32" customFormat="false" ht="15" hidden="false" customHeight="false" outlineLevel="0" collapsed="false">
      <c r="A32" s="7" t="s">
        <v>280</v>
      </c>
      <c r="B32" s="15" t="n">
        <f aca="false">SUMIF('Sales Data'!$L$2:$L$169,A32,'Sales Data'!$J$2:$J$169)</f>
        <v>677927.5</v>
      </c>
    </row>
    <row r="33" customFormat="false" ht="15" hidden="false" customHeight="false" outlineLevel="0" collapsed="false">
      <c r="A33" s="7" t="s">
        <v>281</v>
      </c>
      <c r="B33" s="15" t="n">
        <f aca="false">SUMIF('Sales Data'!$L$2:$L$169,A33,'Sales Data'!$J$2:$J$169)</f>
        <v>1181317.5</v>
      </c>
    </row>
    <row r="34" customFormat="false" ht="15" hidden="false" customHeight="false" outlineLevel="0" collapsed="false">
      <c r="A34" s="7" t="s">
        <v>282</v>
      </c>
      <c r="B34" s="15" t="n">
        <f aca="false">SUMIF('Sales Data'!$L$2:$L$169,A34,'Sales Data'!$J$2:$J$169)</f>
        <v>853760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2026-05-27T09:43:47Z</dcterms:created>
  <dc:creator>openpyxl</dc:creator>
  <dc:description/>
  <dc:language>en-US</dc:language>
  <cp:lastModifiedBy/>
  <dcterms:modified xsi:type="dcterms:W3CDTF">2026-05-27T09:43:49Z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